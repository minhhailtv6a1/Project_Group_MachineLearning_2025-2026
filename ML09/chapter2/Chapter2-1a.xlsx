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301177FA-31CB-47B2-BD5F-20EA338489B6}" xr6:coauthVersionLast="47" xr6:coauthVersionMax="47" xr10:uidLastSave="{00000000-0000-0000-0000-000000000000}"/>
  <bookViews>
    <workbookView xWindow="-108" yWindow="-108" windowWidth="23256" windowHeight="12456" activeTab="1" xr2:uid="{00000000-000D-0000-FFFF-FFFF00000000}"/>
  </bookViews>
  <sheets>
    <sheet name="temp-sale"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C4" i="2"/>
  <c r="D14" i="1"/>
  <c r="D13" i="1"/>
  <c r="D12" i="1"/>
  <c r="D9" i="1"/>
  <c r="D8" i="1"/>
  <c r="D7" i="1"/>
  <c r="D6" i="1"/>
  <c r="D5" i="1"/>
  <c r="D4" i="1"/>
  <c r="D3" i="1"/>
</calcChain>
</file>

<file path=xl/sharedStrings.xml><?xml version="1.0" encoding="utf-8"?>
<sst xmlns="http://schemas.openxmlformats.org/spreadsheetml/2006/main" count="15" uniqueCount="13">
  <si>
    <t>Scoring Data</t>
  </si>
  <si>
    <t>Prediction</t>
  </si>
  <si>
    <t>Temperature (F)</t>
  </si>
  <si>
    <t>Ice Cream Sale (dollar in thousand)</t>
  </si>
  <si>
    <t>SUM(X)</t>
  </si>
  <si>
    <t>SUM(Y)</t>
  </si>
  <si>
    <t>SUM(XY)</t>
  </si>
  <si>
    <t>SUM(X^2)</t>
  </si>
  <si>
    <t>n</t>
  </si>
  <si>
    <t>m</t>
  </si>
  <si>
    <t>b</t>
  </si>
  <si>
    <t>X</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</si>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</sst>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A2" sqref="A2:B9"/>
    </sheetView>
  </sheetViews>
  <sheetFormatPr defaultRowHeight="14.4" x14ac:dyDescent="0.3"/>
  <cols>
    <col min="1" max="1" width="16.88671875" bestFit="1" customWidth="1"/>
    <col min="2" max="2" width="35.88671875" bestFit="1" customWidth="1"/>
    <col min="3" max="3" width="13.5546875" customWidth="1"/>
    <col min="4" max="4" width="15" customWidth="1"/>
  </cols>
  <sheetData>
    <row r="1" spans="1:4" ht="15.6" x14ac:dyDescent="0.3">
      <c r="A1" s="1" t="s">
        <v>2</v>
      </c>
      <c r="B1" s="1" t="s">
        <v>3</v>
      </c>
      <c r="C1" s="2"/>
      <c r="D1" s="2"/>
    </row>
    <row r="2" spans="1:4" ht="15.6" x14ac:dyDescent="0.3">
      <c r="A2" s="2">
        <v>91</v>
      </c>
      <c r="B2" s="2">
        <v>89.8</v>
      </c>
      <c r="C2" s="3"/>
      <c r="D2" s="2"/>
    </row>
    <row r="3" spans="1:4" ht="15.6" x14ac:dyDescent="0.3">
      <c r="A3" s="2">
        <v>87</v>
      </c>
      <c r="B3" s="2">
        <v>90.2</v>
      </c>
      <c r="C3" s="3" t="s">
        <v>4</v>
      </c>
      <c r="D3" s="2">
        <f>SUM(A:A)</f>
        <v>731</v>
      </c>
    </row>
    <row r="4" spans="1:4" ht="15.6" x14ac:dyDescent="0.3">
      <c r="A4" s="2">
        <v>86</v>
      </c>
      <c r="B4" s="2">
        <v>81.099999999999994</v>
      </c>
      <c r="C4" s="3" t="s">
        <v>5</v>
      </c>
      <c r="D4" s="2">
        <f>SUM(B:B)</f>
        <v>781.3</v>
      </c>
    </row>
    <row r="5" spans="1:4" ht="15.6" x14ac:dyDescent="0.3">
      <c r="A5" s="2">
        <v>88</v>
      </c>
      <c r="B5" s="2">
        <v>83</v>
      </c>
      <c r="C5" s="3" t="s">
        <v>6</v>
      </c>
      <c r="D5" s="2">
        <f>SUMPRODUCT(A:A,B:B)</f>
        <v>71851.77</v>
      </c>
    </row>
    <row r="6" spans="1:4" ht="15.6" x14ac:dyDescent="0.3">
      <c r="A6" s="2">
        <v>92.8</v>
      </c>
      <c r="B6" s="2">
        <v>90.9</v>
      </c>
      <c r="C6" s="3" t="s">
        <v>7</v>
      </c>
      <c r="D6" s="2">
        <f>SUMPRODUCT(A:A,A:A)</f>
        <v>66915.06</v>
      </c>
    </row>
    <row r="7" spans="1:4" ht="15.6" x14ac:dyDescent="0.3">
      <c r="A7" s="2">
        <v>95.2</v>
      </c>
      <c r="B7" s="2">
        <v>119</v>
      </c>
      <c r="C7" s="3" t="s">
        <v>8</v>
      </c>
      <c r="D7" s="2">
        <f>COUNT(A:A)</f>
        <v>8</v>
      </c>
    </row>
    <row r="8" spans="1:4" ht="15.6" x14ac:dyDescent="0.3">
      <c r="A8" s="2">
        <v>93.3</v>
      </c>
      <c r="B8" s="2">
        <v>94.9</v>
      </c>
      <c r="C8" s="3" t="s">
        <v>9</v>
      </c>
      <c r="D8" s="2">
        <f>(D7*D5-D3*D4)/(D7*D6-D3^2)</f>
        <v>3.8394338600076852</v>
      </c>
    </row>
    <row r="9" spans="1:4" ht="15.6" x14ac:dyDescent="0.3">
      <c r="A9" s="2">
        <v>97.7</v>
      </c>
      <c r="B9" s="2">
        <v>132.4</v>
      </c>
      <c r="C9" s="3" t="s">
        <v>10</v>
      </c>
      <c r="D9" s="2">
        <f>(D6*D4-D3*D5)/(D7*D6-D3^2)</f>
        <v>-253.16576895819699</v>
      </c>
    </row>
    <row r="10" spans="1:4" ht="15.6" x14ac:dyDescent="0.3">
      <c r="A10" s="2"/>
      <c r="B10" s="2"/>
      <c r="C10" s="2"/>
      <c r="D10" s="2"/>
    </row>
    <row r="11" spans="1:4" ht="15.6" x14ac:dyDescent="0.3">
      <c r="A11" s="2"/>
      <c r="B11" s="2"/>
      <c r="C11" s="3" t="s">
        <v>0</v>
      </c>
      <c r="D11" s="1" t="s">
        <v>1</v>
      </c>
    </row>
    <row r="12" spans="1:4" ht="15.6" x14ac:dyDescent="0.3">
      <c r="A12" s="2"/>
      <c r="B12" s="2"/>
      <c r="C12" s="2">
        <v>88.8</v>
      </c>
      <c r="D12" s="4">
        <f>D$8*C12+D$9</f>
        <v>87.775957810485437</v>
      </c>
    </row>
    <row r="13" spans="1:4" ht="15.6" x14ac:dyDescent="0.3">
      <c r="A13" s="2"/>
      <c r="B13" s="2"/>
      <c r="C13" s="2">
        <v>96.9</v>
      </c>
      <c r="D13" s="4">
        <f>D$8*C13+D$9</f>
        <v>118.87537207654773</v>
      </c>
    </row>
    <row r="14" spans="1:4" ht="15.6" x14ac:dyDescent="0.3">
      <c r="A14" s="2"/>
      <c r="B14" s="2"/>
      <c r="C14" s="2">
        <v>94.7</v>
      </c>
      <c r="D14" s="4">
        <f>D$8*C14+D$9</f>
        <v>110.42861758453083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583F-6246-4296-AC61-04C5DEADFA37}">
  <dimension ref="A1:D9"/>
  <sheetViews>
    <sheetView tabSelected="1" workbookViewId="0">
      <selection activeCell="D5" sqref="D5"/>
    </sheetView>
  </sheetViews>
  <sheetFormatPr defaultRowHeight="14.4" x14ac:dyDescent="0.3"/>
  <sheetData>
    <row r="1" spans="1:4" x14ac:dyDescent="0.3">
      <c r="A1" t="s">
        <v>11</v>
      </c>
      <c r="B1" t="s">
        <v>12</v>
      </c>
    </row>
    <row r="2" spans="1:4" ht="15.6" x14ac:dyDescent="0.3">
      <c r="A2" s="2">
        <v>91</v>
      </c>
      <c r="B2" s="2">
        <v>89.8</v>
      </c>
    </row>
    <row r="3" spans="1:4" ht="15.6" x14ac:dyDescent="0.3">
      <c r="A3" s="2">
        <v>87</v>
      </c>
      <c r="B3" s="2">
        <v>90.2</v>
      </c>
      <c r="C3" t="s">
        <v>9</v>
      </c>
      <c r="D3" t="s">
        <v>10</v>
      </c>
    </row>
    <row r="4" spans="1:4" ht="15.6" x14ac:dyDescent="0.3">
      <c r="A4" s="2">
        <v>86</v>
      </c>
      <c r="B4" s="2">
        <v>81.099999999999994</v>
      </c>
      <c r="C4">
        <f>SLOPE(B2:B9,A2:A9)</f>
        <v>3.8394338600075053</v>
      </c>
      <c r="D4">
        <f>INTERCEPT(B2:B9,A2:A9)</f>
        <v>-253.16576895818579</v>
      </c>
    </row>
    <row r="5" spans="1:4" ht="15.6" x14ac:dyDescent="0.3">
      <c r="A5" s="2">
        <v>88</v>
      </c>
      <c r="B5" s="2">
        <v>83</v>
      </c>
    </row>
    <row r="6" spans="1:4" ht="15.6" x14ac:dyDescent="0.3">
      <c r="A6" s="2">
        <v>92.8</v>
      </c>
      <c r="B6" s="2">
        <v>90.9</v>
      </c>
    </row>
    <row r="7" spans="1:4" ht="15.6" x14ac:dyDescent="0.3">
      <c r="A7" s="2">
        <v>95.2</v>
      </c>
      <c r="B7" s="2">
        <v>119</v>
      </c>
    </row>
    <row r="8" spans="1:4" ht="15.6" x14ac:dyDescent="0.3">
      <c r="A8" s="2">
        <v>93.3</v>
      </c>
      <c r="B8" s="2">
        <v>94.9</v>
      </c>
    </row>
    <row r="9" spans="1:4" ht="15.6" x14ac:dyDescent="0.3">
      <c r="A9" s="2">
        <v>97.7</v>
      </c>
      <c r="B9" s="2">
        <v>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temp-sale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2025-11-26T12:54:44Z</dcterms:modified>
</cp:coreProperties>
</file>