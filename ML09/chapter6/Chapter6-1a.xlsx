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6AA24D52-B9AC-47D1-9803-59E804DF9E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6" i="2"/>
  <c r="G3" i="2" l="1" a="1"/>
  <c r="G3" i="2" s="1"/>
  <c r="B3" i="2" a="1"/>
  <c r="B3" i="2" s="1"/>
  <c r="I6" i="2" l="1" a="1"/>
  <c r="I6" i="2" s="1"/>
  <c r="L6" i="2" l="1" a="1"/>
  <c r="L6" i="2" s="1"/>
  <c r="M6" i="2" s="1" a="1"/>
  <c r="M6" i="2" s="1"/>
  <c r="M1" i="2" s="1"/>
  <c r="J6" i="2" a="1"/>
  <c r="J6" i="2" s="1"/>
  <c r="K6" i="2" s="1" a="1"/>
  <c r="K6" i="2" s="1"/>
  <c r="K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<sst xmlns="http://schemas.openxmlformats.org/spreadsheetml/2006/main" count="21" uniqueCount="21">
  <si>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patientID</t>
  </si>
  <si>
    <t>5-year survival</t>
  </si>
  <si>
    <t>gene1</t>
  </si>
  <si>
    <t>gene2</t>
  </si>
  <si>
    <t>gene3</t>
  </si>
  <si>
    <t>gene4</t>
  </si>
  <si>
    <t>gene5</t>
  </si>
  <si>
    <t>m1</t>
  </si>
  <si>
    <t>m2</t>
  </si>
  <si>
    <t>m3</t>
  </si>
  <si>
    <t>m4</t>
  </si>
  <si>
    <t>m5</t>
  </si>
  <si>
    <t>b</t>
  </si>
  <si>
    <t>m1x1+m2x2+...+b</t>
  </si>
  <si>
    <t>P(1)</t>
  </si>
  <si>
    <t>Outcome</t>
  </si>
  <si>
    <t>Difference</t>
  </si>
  <si>
    <t>total_diff</t>
  </si>
  <si>
    <t>Ln(Likelihood)</t>
  </si>
  <si>
    <t>Likelihood</t>
  </si>
  <si>
    <t>to_maximize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</si>
</sst>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1:M92"/>
  <sheetViews>
    <sheetView tabSelected="1" workbookViewId="0">
      <selection activeCell="R13" sqref="R12:R13"/>
    </sheetView>
  </sheetViews>
  <sheetFormatPr defaultRowHeight="14.4" x14ac:dyDescent="0.3"/>
  <cols>
    <col min="7" max="7" width="14" bestFit="1" customWidth="1"/>
    <col min="8" max="8" width="17.88671875" customWidth="1"/>
    <col min="11" max="11" width="11.21875" customWidth="1"/>
    <col min="12" max="12" width="12.109375" customWidth="1"/>
    <col min="13" max="13" width="8.88671875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>
        <f>SUM(M6:M92)</f>
        <v>-63.033428306423872</v>
      </c>
    </row>
    <row r="2" spans="1:13" x14ac:dyDescent="0.3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J2" t="s">
        <v>17</v>
      </c>
      <c r="K2">
        <f>SUM(K6:K92)</f>
        <v>53</v>
      </c>
    </row>
    <row r="3" spans="1:13" x14ac:dyDescent="0.3">
      <c r="B3" cm="1">
        <f t="array" ref="B3:F3">INDEX((LINEST(G6:G92,B6:F92)),1,B1:F1)</f>
        <v>-3.1646397523048817E-4</v>
      </c>
      <c r="C3">
        <v>3.0100064130601915E-3</v>
      </c>
      <c r="D3">
        <v>-5.1330433103881426E-3</v>
      </c>
      <c r="E3">
        <v>-5.1011808354464684E-4</v>
      </c>
      <c r="F3">
        <v>-7.4155185513976826E-4</v>
      </c>
      <c r="G3" cm="1">
        <f t="array" ref="G3">INDEX((LINEST(G$6:G$92,B$6:F$92)),1,G$1)</f>
        <v>0.5355740251747082</v>
      </c>
    </row>
    <row r="4" spans="1:13" x14ac:dyDescent="0.3">
      <c r="B4">
        <v>-3.1646397523048817E-4</v>
      </c>
      <c r="C4">
        <v>3.0100064130601915E-3</v>
      </c>
      <c r="D4">
        <v>-5.1330433103881426E-3</v>
      </c>
      <c r="E4">
        <v>-5.1011808354464684E-4</v>
      </c>
      <c r="F4">
        <v>-7.4155185513976826E-4</v>
      </c>
      <c r="G4">
        <v>0.5355740251747082</v>
      </c>
    </row>
    <row r="5" spans="1:13" x14ac:dyDescent="0.3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19</v>
      </c>
      <c r="M5" s="1" t="s">
        <v>18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SUMPRODUCT(B$4:F$4,B6:F6)+G$4</f>
        <v>-2.3927191780189316E-2</v>
      </c>
      <c r="I6" cm="1">
        <f t="array" ref="I6:I92">1/(1+EXP(-H6:H92))</f>
        <v>0.4940184874254625</v>
      </c>
      <c r="J6" cm="1">
        <f t="array" ref="J6:J92">IF(I6:I92&gt;0.5,1,0)</f>
        <v>0</v>
      </c>
      <c r="K6" cm="1">
        <f t="array" ref="K6:K92">IF(G6:G92=J6:J92,0,1)</f>
        <v>0</v>
      </c>
      <c r="L6" cm="1">
        <f t="array" ref="L6:L92">IF(G6:G92=1,I6:I92,1-I6:I92)</f>
        <v>0.5059815125745375</v>
      </c>
      <c r="M6" cm="1">
        <f t="array" ref="M6:M92">IF(L6:L92=0,-1000000,LN(L6:L92))</f>
        <v>-0.68125514677610011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0">SUMPRODUCT(B$4:F$4,B7:F7)+G$4</f>
        <v>0.29800612490512252</v>
      </c>
      <c r="I7">
        <v>0.57395502527582609</v>
      </c>
      <c r="J7">
        <v>1</v>
      </c>
      <c r="K7">
        <v>1</v>
      </c>
      <c r="L7">
        <v>0.42604497472417391</v>
      </c>
      <c r="M7">
        <v>-0.853210363815467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0"/>
        <v>0.37375435313399386</v>
      </c>
      <c r="I8">
        <v>0.59236585005357956</v>
      </c>
      <c r="J8">
        <v>1</v>
      </c>
      <c r="K8">
        <v>0</v>
      </c>
      <c r="L8">
        <v>0.59236585005357956</v>
      </c>
      <c r="M8">
        <v>-0.52363084501991686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0"/>
        <v>0.50384536269088342</v>
      </c>
      <c r="I9">
        <v>0.62336257925596106</v>
      </c>
      <c r="J9">
        <v>1</v>
      </c>
      <c r="K9">
        <v>0</v>
      </c>
      <c r="L9">
        <v>0.62336257925596106</v>
      </c>
      <c r="M9">
        <v>-0.47262694030980629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0"/>
        <v>0.37407511464679871</v>
      </c>
      <c r="I10">
        <v>0.59244330157553815</v>
      </c>
      <c r="J10">
        <v>1</v>
      </c>
      <c r="K10">
        <v>1</v>
      </c>
      <c r="L10">
        <v>0.40755669842446185</v>
      </c>
      <c r="M10">
        <v>-0.89757521874196422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0"/>
        <v>0.29626883543683058</v>
      </c>
      <c r="I11">
        <v>0.57353015026392073</v>
      </c>
      <c r="J11">
        <v>1</v>
      </c>
      <c r="K11">
        <v>1</v>
      </c>
      <c r="L11">
        <v>0.42646984973607927</v>
      </c>
      <c r="M11">
        <v>-0.85221360684446334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0"/>
        <v>0.37418369336186913</v>
      </c>
      <c r="I12">
        <v>0.59246951810305992</v>
      </c>
      <c r="J12">
        <v>1</v>
      </c>
      <c r="K12">
        <v>1</v>
      </c>
      <c r="L12">
        <v>0.40753048189694008</v>
      </c>
      <c r="M12">
        <v>-0.89763954689768488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0"/>
        <v>0.4102785935069827</v>
      </c>
      <c r="I13">
        <v>0.60115467846346771</v>
      </c>
      <c r="J13">
        <v>1</v>
      </c>
      <c r="K13">
        <v>0</v>
      </c>
      <c r="L13">
        <v>0.60115467846346771</v>
      </c>
      <c r="M13">
        <v>-0.50890300906889141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0"/>
        <v>0.34880809514430677</v>
      </c>
      <c r="I14">
        <v>0.58632851528602681</v>
      </c>
      <c r="J14">
        <v>1</v>
      </c>
      <c r="K14">
        <v>1</v>
      </c>
      <c r="L14">
        <v>0.41367148471397319</v>
      </c>
      <c r="M14">
        <v>-0.88268313534028475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0"/>
        <v>-0.61004070172061098</v>
      </c>
      <c r="I15">
        <v>0.35204991336253633</v>
      </c>
      <c r="J15">
        <v>0</v>
      </c>
      <c r="K15">
        <v>0</v>
      </c>
      <c r="L15">
        <v>0.64795008663746367</v>
      </c>
      <c r="M15">
        <v>-0.43394161239061574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0"/>
        <v>0.29128484563105328</v>
      </c>
      <c r="I16">
        <v>0.57231065527717029</v>
      </c>
      <c r="J16">
        <v>1</v>
      </c>
      <c r="K16">
        <v>1</v>
      </c>
      <c r="L16">
        <v>0.42768934472282971</v>
      </c>
      <c r="M16">
        <v>-0.84935817702937655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0"/>
        <v>0.3897374803233431</v>
      </c>
      <c r="I17">
        <v>0.59621950143202374</v>
      </c>
      <c r="J17">
        <v>1</v>
      </c>
      <c r="K17">
        <v>0</v>
      </c>
      <c r="L17">
        <v>0.59621950143202374</v>
      </c>
      <c r="M17">
        <v>-0.51714638872593988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0"/>
        <v>0.41451318033507212</v>
      </c>
      <c r="I18">
        <v>0.60216955949998463</v>
      </c>
      <c r="J18">
        <v>1</v>
      </c>
      <c r="K18">
        <v>0</v>
      </c>
      <c r="L18">
        <v>0.60216955949998463</v>
      </c>
      <c r="M18">
        <v>-0.50721621303315356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0"/>
        <v>0.24531145820598388</v>
      </c>
      <c r="I19">
        <v>0.56102215655541932</v>
      </c>
      <c r="J19">
        <v>1</v>
      </c>
      <c r="K19">
        <v>1</v>
      </c>
      <c r="L19">
        <v>0.43897784344458068</v>
      </c>
      <c r="M19">
        <v>-0.82330633769412853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0"/>
        <v>-0.14844297540586526</v>
      </c>
      <c r="I20">
        <v>0.46295725190523468</v>
      </c>
      <c r="J20">
        <v>0</v>
      </c>
      <c r="K20">
        <v>0</v>
      </c>
      <c r="L20">
        <v>0.53704274809476527</v>
      </c>
      <c r="M20">
        <v>-0.62167758225098901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0"/>
        <v>0.10764847105237063</v>
      </c>
      <c r="I21">
        <v>0.52688615927526805</v>
      </c>
      <c r="J21">
        <v>1</v>
      </c>
      <c r="K21">
        <v>1</v>
      </c>
      <c r="L21">
        <v>0.47311384072473195</v>
      </c>
      <c r="M21">
        <v>-0.74841924138355087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0"/>
        <v>0.11544623726208453</v>
      </c>
      <c r="I22">
        <v>0.52882954680867922</v>
      </c>
      <c r="J22">
        <v>1</v>
      </c>
      <c r="K22">
        <v>1</v>
      </c>
      <c r="L22">
        <v>0.47117045319132078</v>
      </c>
      <c r="M22">
        <v>-0.75253535406218564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0"/>
        <v>0.16142677718127951</v>
      </c>
      <c r="I23">
        <v>0.54026928546919317</v>
      </c>
      <c r="J23">
        <v>1</v>
      </c>
      <c r="K23">
        <v>1</v>
      </c>
      <c r="L23">
        <v>0.45973071453080683</v>
      </c>
      <c r="M23">
        <v>-0.77711436410824564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0"/>
        <v>0.47180305901582598</v>
      </c>
      <c r="I24">
        <v>0.61581042739715552</v>
      </c>
      <c r="J24">
        <v>1</v>
      </c>
      <c r="K24">
        <v>0</v>
      </c>
      <c r="L24">
        <v>0.61581042739715552</v>
      </c>
      <c r="M24">
        <v>-0.48481611054455859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0"/>
        <v>0.27074008615049205</v>
      </c>
      <c r="I25">
        <v>0.56727458600685166</v>
      </c>
      <c r="J25">
        <v>1</v>
      </c>
      <c r="K25">
        <v>1</v>
      </c>
      <c r="L25">
        <v>0.43272541399314834</v>
      </c>
      <c r="M25">
        <v>-0.83765189995825207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0"/>
        <v>0.26273620356408872</v>
      </c>
      <c r="I26">
        <v>0.56530879188876604</v>
      </c>
      <c r="J26">
        <v>1</v>
      </c>
      <c r="K26">
        <v>1</v>
      </c>
      <c r="L26">
        <v>0.43469120811123396</v>
      </c>
      <c r="M26">
        <v>-0.83311936637886996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0"/>
        <v>0.2730732897820306</v>
      </c>
      <c r="I27">
        <v>0.56784723699247397</v>
      </c>
      <c r="J27">
        <v>1</v>
      </c>
      <c r="K27">
        <v>1</v>
      </c>
      <c r="L27">
        <v>0.43215276300752603</v>
      </c>
      <c r="M27">
        <v>-0.83897613517318503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0"/>
        <v>0.42523331440131096</v>
      </c>
      <c r="I28">
        <v>0.60473485536026039</v>
      </c>
      <c r="J28">
        <v>1</v>
      </c>
      <c r="K28">
        <v>1</v>
      </c>
      <c r="L28">
        <v>0.39526514463973961</v>
      </c>
      <c r="M28">
        <v>-0.92819848701753627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0"/>
        <v>5.4397643781241511E-2</v>
      </c>
      <c r="I29">
        <v>0.51359605843180434</v>
      </c>
      <c r="J29">
        <v>1</v>
      </c>
      <c r="K29">
        <v>1</v>
      </c>
      <c r="L29">
        <v>0.48640394156819566</v>
      </c>
      <c r="M29">
        <v>-0.72071584480997952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0"/>
        <v>0.23310049068720023</v>
      </c>
      <c r="I30">
        <v>0.55801267961355561</v>
      </c>
      <c r="J30">
        <v>1</v>
      </c>
      <c r="K30">
        <v>1</v>
      </c>
      <c r="L30">
        <v>0.44198732038644439</v>
      </c>
      <c r="M30">
        <v>-0.81647408422441303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0"/>
        <v>0.30708465440511917</v>
      </c>
      <c r="I31">
        <v>0.57617349930697215</v>
      </c>
      <c r="J31">
        <v>1</v>
      </c>
      <c r="K31">
        <v>1</v>
      </c>
      <c r="L31">
        <v>0.42382650069302785</v>
      </c>
      <c r="M31">
        <v>-0.85843110397261213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0"/>
        <v>-0.12967673030976157</v>
      </c>
      <c r="I32">
        <v>0.46762617138472518</v>
      </c>
      <c r="J32">
        <v>0</v>
      </c>
      <c r="K32">
        <v>0</v>
      </c>
      <c r="L32">
        <v>0.53237382861527482</v>
      </c>
      <c r="M32">
        <v>-0.63040935104120399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0"/>
        <v>0.33464703682818736</v>
      </c>
      <c r="I33">
        <v>0.58288964102122132</v>
      </c>
      <c r="J33">
        <v>1</v>
      </c>
      <c r="K33">
        <v>0</v>
      </c>
      <c r="L33">
        <v>0.58288964102122132</v>
      </c>
      <c r="M33">
        <v>-0.53975740553953122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0"/>
        <v>0.39512627532290268</v>
      </c>
      <c r="I34">
        <v>0.59751613422954886</v>
      </c>
      <c r="J34">
        <v>1</v>
      </c>
      <c r="K34">
        <v>0</v>
      </c>
      <c r="L34">
        <v>0.59751613422954886</v>
      </c>
      <c r="M34">
        <v>-0.51497399264640042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0"/>
        <v>0.3897000381075858</v>
      </c>
      <c r="I35">
        <v>0.59621048749285077</v>
      </c>
      <c r="J35">
        <v>1</v>
      </c>
      <c r="K35">
        <v>1</v>
      </c>
      <c r="L35">
        <v>0.40378951250714923</v>
      </c>
      <c r="M35">
        <v>-0.90686154543882269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0"/>
        <v>0.18473643952626706</v>
      </c>
      <c r="I36">
        <v>0.54605321070563018</v>
      </c>
      <c r="J36">
        <v>1</v>
      </c>
      <c r="K36">
        <v>1</v>
      </c>
      <c r="L36">
        <v>0.45394678929436982</v>
      </c>
      <c r="M36">
        <v>-0.78977529200716101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0"/>
        <v>0.24944174094872634</v>
      </c>
      <c r="I37">
        <v>0.56203908954022219</v>
      </c>
      <c r="J37">
        <v>1</v>
      </c>
      <c r="K37">
        <v>1</v>
      </c>
      <c r="L37">
        <v>0.43796091045977781</v>
      </c>
      <c r="M37">
        <v>-0.8256256181139312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0"/>
        <v>0.46073736484703959</v>
      </c>
      <c r="I38">
        <v>0.61318908499329172</v>
      </c>
      <c r="J38">
        <v>1</v>
      </c>
      <c r="K38">
        <v>0</v>
      </c>
      <c r="L38">
        <v>0.61318908499329172</v>
      </c>
      <c r="M38">
        <v>-0.48908193221907259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0"/>
        <v>0.21666243796907858</v>
      </c>
      <c r="I39">
        <v>0.55395470985565531</v>
      </c>
      <c r="J39">
        <v>1</v>
      </c>
      <c r="K39">
        <v>1</v>
      </c>
      <c r="L39">
        <v>0.44604529014434469</v>
      </c>
      <c r="M39">
        <v>-0.80733478470881748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0"/>
        <v>0.31833032671380129</v>
      </c>
      <c r="I40">
        <v>0.57891728616785931</v>
      </c>
      <c r="J40">
        <v>1</v>
      </c>
      <c r="K40">
        <v>1</v>
      </c>
      <c r="L40">
        <v>0.42108271383214069</v>
      </c>
      <c r="M40">
        <v>-0.86492599468736797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0"/>
        <v>0.32018868145722279</v>
      </c>
      <c r="I41">
        <v>0.57937023457738857</v>
      </c>
      <c r="J41">
        <v>1</v>
      </c>
      <c r="K41">
        <v>1</v>
      </c>
      <c r="L41">
        <v>0.42062976542261143</v>
      </c>
      <c r="M41">
        <v>-0.86600224926221292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0"/>
        <v>0.12503119365041626</v>
      </c>
      <c r="I42">
        <v>0.53121714139540233</v>
      </c>
      <c r="J42">
        <v>1</v>
      </c>
      <c r="K42">
        <v>1</v>
      </c>
      <c r="L42">
        <v>0.46878285860459767</v>
      </c>
      <c r="M42">
        <v>-0.75761560579781639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0"/>
        <v>0.43054415636598042</v>
      </c>
      <c r="I43">
        <v>0.60600360045856982</v>
      </c>
      <c r="J43">
        <v>1</v>
      </c>
      <c r="K43">
        <v>1</v>
      </c>
      <c r="L43">
        <v>0.39399639954143018</v>
      </c>
      <c r="M43">
        <v>-0.93141350794567734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0"/>
        <v>-0.12577595616378157</v>
      </c>
      <c r="I44">
        <v>0.4685973980751218</v>
      </c>
      <c r="J44">
        <v>0</v>
      </c>
      <c r="K44">
        <v>0</v>
      </c>
      <c r="L44">
        <v>0.5314026019248782</v>
      </c>
      <c r="M44">
        <v>-0.63223534930996506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0"/>
        <v>-0.16887926114974294</v>
      </c>
      <c r="I45">
        <v>0.45788024250376158</v>
      </c>
      <c r="J45">
        <v>0</v>
      </c>
      <c r="K45">
        <v>0</v>
      </c>
      <c r="L45">
        <v>0.54211975749623842</v>
      </c>
      <c r="M45">
        <v>-0.61226834715929757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0"/>
        <v>0.38787730277581339</v>
      </c>
      <c r="I46">
        <v>0.59577159888803699</v>
      </c>
      <c r="J46">
        <v>1</v>
      </c>
      <c r="K46">
        <v>1</v>
      </c>
      <c r="L46">
        <v>0.40422840111196301</v>
      </c>
      <c r="M46">
        <v>-0.90577521148365125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0"/>
        <v>0.21760518861027545</v>
      </c>
      <c r="I47">
        <v>0.55418764119896091</v>
      </c>
      <c r="J47">
        <v>1</v>
      </c>
      <c r="K47">
        <v>1</v>
      </c>
      <c r="L47">
        <v>0.44581235880103909</v>
      </c>
      <c r="M47">
        <v>-0.80785713566668016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0"/>
        <v>0.45790893875929428</v>
      </c>
      <c r="I48">
        <v>0.61251800121487321</v>
      </c>
      <c r="J48">
        <v>1</v>
      </c>
      <c r="K48">
        <v>0</v>
      </c>
      <c r="L48">
        <v>0.61251800121487321</v>
      </c>
      <c r="M48">
        <v>-0.49017694725655642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0"/>
        <v>0.40492140557236489</v>
      </c>
      <c r="I49">
        <v>0.59986950429953845</v>
      </c>
      <c r="J49">
        <v>1</v>
      </c>
      <c r="K49">
        <v>0</v>
      </c>
      <c r="L49">
        <v>0.59986950429953845</v>
      </c>
      <c r="M49">
        <v>-0.51104314025508968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0"/>
        <v>0.17790046400969273</v>
      </c>
      <c r="I50">
        <v>0.54435818821089654</v>
      </c>
      <c r="J50">
        <v>1</v>
      </c>
      <c r="K50">
        <v>1</v>
      </c>
      <c r="L50">
        <v>0.45564181178910346</v>
      </c>
      <c r="M50">
        <v>-0.78604827859738102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0"/>
        <v>0.40381139616816275</v>
      </c>
      <c r="I51">
        <v>0.59960304357970751</v>
      </c>
      <c r="J51">
        <v>1</v>
      </c>
      <c r="K51">
        <v>0</v>
      </c>
      <c r="L51">
        <v>0.59960304357970751</v>
      </c>
      <c r="M51">
        <v>-0.5114874367497203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0"/>
        <v>0.39499416810526466</v>
      </c>
      <c r="I52">
        <v>0.59748436327579801</v>
      </c>
      <c r="J52">
        <v>1</v>
      </c>
      <c r="K52">
        <v>1</v>
      </c>
      <c r="L52">
        <v>0.40251563672420199</v>
      </c>
      <c r="M52">
        <v>-0.9100213338738935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0"/>
        <v>0.12356069026075189</v>
      </c>
      <c r="I53">
        <v>0.53085093182329446</v>
      </c>
      <c r="J53">
        <v>1</v>
      </c>
      <c r="K53">
        <v>1</v>
      </c>
      <c r="L53">
        <v>0.46914906817670554</v>
      </c>
      <c r="M53">
        <v>-0.75683471844285943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0"/>
        <v>8.3030010778445185E-2</v>
      </c>
      <c r="I54">
        <v>0.52074558575470653</v>
      </c>
      <c r="J54">
        <v>1</v>
      </c>
      <c r="K54">
        <v>1</v>
      </c>
      <c r="L54">
        <v>0.47925441424529347</v>
      </c>
      <c r="M54">
        <v>-0.73552368636266519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0"/>
        <v>0.39051284387494484</v>
      </c>
      <c r="I55">
        <v>0.59640614992066121</v>
      </c>
      <c r="J55">
        <v>1</v>
      </c>
      <c r="K55">
        <v>1</v>
      </c>
      <c r="L55">
        <v>0.40359385007933879</v>
      </c>
      <c r="M55">
        <v>-0.90734622828146638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0"/>
        <v>0.46569295783965814</v>
      </c>
      <c r="I56">
        <v>0.61436383198689637</v>
      </c>
      <c r="J56">
        <v>1</v>
      </c>
      <c r="K56">
        <v>1</v>
      </c>
      <c r="L56">
        <v>0.38563616801310363</v>
      </c>
      <c r="M56">
        <v>-0.95286092392990296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0"/>
        <v>0.35351102906953902</v>
      </c>
      <c r="I57">
        <v>0.58746873459539595</v>
      </c>
      <c r="J57">
        <v>1</v>
      </c>
      <c r="K57">
        <v>1</v>
      </c>
      <c r="L57">
        <v>0.41253126540460405</v>
      </c>
      <c r="M57">
        <v>-0.88544328115943893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0"/>
        <v>0.42337275025599053</v>
      </c>
      <c r="I58">
        <v>0.60429003702591155</v>
      </c>
      <c r="J58">
        <v>1</v>
      </c>
      <c r="K58">
        <v>0</v>
      </c>
      <c r="L58">
        <v>0.60429003702591155</v>
      </c>
      <c r="M58">
        <v>-0.50370100255193706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0"/>
        <v>0.49320438247671217</v>
      </c>
      <c r="I59">
        <v>0.6208610119079141</v>
      </c>
      <c r="J59">
        <v>1</v>
      </c>
      <c r="K59">
        <v>0</v>
      </c>
      <c r="L59">
        <v>0.6208610119079141</v>
      </c>
      <c r="M59">
        <v>-0.47664803545139983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0"/>
        <v>0.36001325146381258</v>
      </c>
      <c r="I60">
        <v>0.58904364186059244</v>
      </c>
      <c r="J60">
        <v>1</v>
      </c>
      <c r="K60">
        <v>1</v>
      </c>
      <c r="L60">
        <v>0.41095635813940756</v>
      </c>
      <c r="M60">
        <v>-0.8892682546995343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0"/>
        <v>0.43101000125481248</v>
      </c>
      <c r="I61">
        <v>0.60611482159777419</v>
      </c>
      <c r="J61">
        <v>1</v>
      </c>
      <c r="K61">
        <v>1</v>
      </c>
      <c r="L61">
        <v>0.39388517840222581</v>
      </c>
      <c r="M61">
        <v>-0.93169583753189122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0"/>
        <v>0.47317054847188594</v>
      </c>
      <c r="I62">
        <v>0.61613390763741949</v>
      </c>
      <c r="J62">
        <v>1</v>
      </c>
      <c r="K62">
        <v>0</v>
      </c>
      <c r="L62">
        <v>0.61613390763741949</v>
      </c>
      <c r="M62">
        <v>-0.48429095654449711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0"/>
        <v>0.47086244750009204</v>
      </c>
      <c r="I63">
        <v>0.61558786582388669</v>
      </c>
      <c r="J63">
        <v>1</v>
      </c>
      <c r="K63">
        <v>0</v>
      </c>
      <c r="L63">
        <v>0.61558786582388669</v>
      </c>
      <c r="M63">
        <v>-0.48517758834896596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0"/>
        <v>0.3807067788656997</v>
      </c>
      <c r="I64">
        <v>0.59404355808613085</v>
      </c>
      <c r="J64">
        <v>1</v>
      </c>
      <c r="K64">
        <v>1</v>
      </c>
      <c r="L64">
        <v>0.40595644191386915</v>
      </c>
      <c r="M64">
        <v>-0.90150941106238169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0"/>
        <v>0.38497237288532404</v>
      </c>
      <c r="I65">
        <v>0.59507181681678045</v>
      </c>
      <c r="J65">
        <v>1</v>
      </c>
      <c r="K65">
        <v>1</v>
      </c>
      <c r="L65">
        <v>0.40492818318321955</v>
      </c>
      <c r="M65">
        <v>-0.9040455530731506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0"/>
        <v>0.43852076167898402</v>
      </c>
      <c r="I66">
        <v>0.6079065014755467</v>
      </c>
      <c r="J66">
        <v>1</v>
      </c>
      <c r="K66">
        <v>0</v>
      </c>
      <c r="L66">
        <v>0.6079065014755467</v>
      </c>
      <c r="M66">
        <v>-0.4977341893092494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0"/>
        <v>0.50772347878635282</v>
      </c>
      <c r="I67">
        <v>0.62427265331182746</v>
      </c>
      <c r="J67">
        <v>1</v>
      </c>
      <c r="K67">
        <v>0</v>
      </c>
      <c r="L67">
        <v>0.62427265331182746</v>
      </c>
      <c r="M67">
        <v>-0.47116806163514008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0"/>
        <v>0.50061078385977797</v>
      </c>
      <c r="I68">
        <v>0.6226028569366161</v>
      </c>
      <c r="J68">
        <v>1</v>
      </c>
      <c r="K68">
        <v>0</v>
      </c>
      <c r="L68">
        <v>0.6226028569366161</v>
      </c>
      <c r="M68">
        <v>-0.47384643226588963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0"/>
        <v>0.38897808967527459</v>
      </c>
      <c r="I69">
        <v>0.59603667100447333</v>
      </c>
      <c r="J69">
        <v>1</v>
      </c>
      <c r="K69">
        <v>1</v>
      </c>
      <c r="L69">
        <v>0.40396332899552667</v>
      </c>
      <c r="M69">
        <v>-0.9064311749538686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0"/>
        <v>0.3652068737947971</v>
      </c>
      <c r="I70">
        <v>0.59030028443518123</v>
      </c>
      <c r="J70">
        <v>1</v>
      </c>
      <c r="K70">
        <v>1</v>
      </c>
      <c r="L70">
        <v>0.40969971556481877</v>
      </c>
      <c r="M70">
        <v>-0.89233078868188664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1">SUMPRODUCT(B$4:F$4,B71:F71)+G$4</f>
        <v>9.6193958560006676E-2</v>
      </c>
      <c r="I71">
        <v>0.52402996283717584</v>
      </c>
      <c r="J71">
        <v>1</v>
      </c>
      <c r="K71">
        <v>1</v>
      </c>
      <c r="L71">
        <v>0.47597003716282416</v>
      </c>
      <c r="M71">
        <v>-0.74240037386889524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1"/>
        <v>0.53883516025559131</v>
      </c>
      <c r="I72">
        <v>0.63154140474304432</v>
      </c>
      <c r="J72">
        <v>1</v>
      </c>
      <c r="K72">
        <v>0</v>
      </c>
      <c r="L72">
        <v>0.63154140474304432</v>
      </c>
      <c r="M72">
        <v>-0.45959177363539483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1"/>
        <v>-0.37093210966067247</v>
      </c>
      <c r="I73">
        <v>0.40831581022695623</v>
      </c>
      <c r="J73">
        <v>0</v>
      </c>
      <c r="K73">
        <v>0</v>
      </c>
      <c r="L73">
        <v>0.59168418977304382</v>
      </c>
      <c r="M73">
        <v>-0.52478224966147047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1"/>
        <v>0.4176171740731946</v>
      </c>
      <c r="I74">
        <v>0.60291292018530374</v>
      </c>
      <c r="J74">
        <v>1</v>
      </c>
      <c r="K74">
        <v>1</v>
      </c>
      <c r="L74">
        <v>0.39708707981469626</v>
      </c>
      <c r="M74">
        <v>-0.92359967772605978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1"/>
        <v>0.33077484406022095</v>
      </c>
      <c r="I75">
        <v>0.5819478963853274</v>
      </c>
      <c r="J75">
        <v>1</v>
      </c>
      <c r="K75">
        <v>1</v>
      </c>
      <c r="L75">
        <v>0.4180521036146726</v>
      </c>
      <c r="M75">
        <v>-0.8721492044296536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1"/>
        <v>0.4621275241993627</v>
      </c>
      <c r="I76">
        <v>0.61351876250279636</v>
      </c>
      <c r="J76">
        <v>1</v>
      </c>
      <c r="K76">
        <v>1</v>
      </c>
      <c r="L76">
        <v>0.38648123749720364</v>
      </c>
      <c r="M76">
        <v>-0.95067195677153116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1"/>
        <v>0.56709798395937649</v>
      </c>
      <c r="I77">
        <v>0.63809328080084304</v>
      </c>
      <c r="J77">
        <v>1</v>
      </c>
      <c r="K77">
        <v>0</v>
      </c>
      <c r="L77">
        <v>0.63809328080084304</v>
      </c>
      <c r="M77">
        <v>-0.4492707981729257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1"/>
        <v>0.45799748787160899</v>
      </c>
      <c r="I78">
        <v>0.61253901722516835</v>
      </c>
      <c r="J78">
        <v>1</v>
      </c>
      <c r="K78">
        <v>0</v>
      </c>
      <c r="L78">
        <v>0.61253901722516835</v>
      </c>
      <c r="M78">
        <v>-0.49014263700000366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1"/>
        <v>0.38087435255353147</v>
      </c>
      <c r="I79">
        <v>0.59408396881748116</v>
      </c>
      <c r="J79">
        <v>1</v>
      </c>
      <c r="K79">
        <v>0</v>
      </c>
      <c r="L79">
        <v>0.59408396881748116</v>
      </c>
      <c r="M79">
        <v>-0.52073460796451687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1"/>
        <v>0.22579645884926763</v>
      </c>
      <c r="I80">
        <v>0.55621049754117458</v>
      </c>
      <c r="J80">
        <v>1</v>
      </c>
      <c r="K80">
        <v>1</v>
      </c>
      <c r="L80">
        <v>0.44378950245882542</v>
      </c>
      <c r="M80">
        <v>-0.81240492252900121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1"/>
        <v>0.32463358297279199</v>
      </c>
      <c r="I81">
        <v>0.58045307490178677</v>
      </c>
      <c r="J81">
        <v>1</v>
      </c>
      <c r="K81">
        <v>1</v>
      </c>
      <c r="L81">
        <v>0.41954692509821323</v>
      </c>
      <c r="M81">
        <v>-0.86857989974019734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1"/>
        <v>0.32833988933590508</v>
      </c>
      <c r="I82">
        <v>0.5813553916044425</v>
      </c>
      <c r="J82">
        <v>1</v>
      </c>
      <c r="K82">
        <v>1</v>
      </c>
      <c r="L82">
        <v>0.4186446083955575</v>
      </c>
      <c r="M82">
        <v>-0.87073290896339528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1"/>
        <v>0.19000097232300406</v>
      </c>
      <c r="I83">
        <v>0.54735785904315759</v>
      </c>
      <c r="J83">
        <v>1</v>
      </c>
      <c r="K83">
        <v>1</v>
      </c>
      <c r="L83">
        <v>0.45264214095684241</v>
      </c>
      <c r="M83">
        <v>-0.7926534415071339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1"/>
        <v>0.21876983533826477</v>
      </c>
      <c r="I84">
        <v>0.55447536493762473</v>
      </c>
      <c r="J84">
        <v>1</v>
      </c>
      <c r="K84">
        <v>1</v>
      </c>
      <c r="L84">
        <v>0.44552463506237527</v>
      </c>
      <c r="M84">
        <v>-0.80850273604148415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1"/>
        <v>0.55240967315701039</v>
      </c>
      <c r="I85">
        <v>0.63469447268709467</v>
      </c>
      <c r="J85">
        <v>1</v>
      </c>
      <c r="K85">
        <v>1</v>
      </c>
      <c r="L85">
        <v>0.36530552731290533</v>
      </c>
      <c r="M85">
        <v>-1.0070212144086879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1"/>
        <v>0.55847354606708977</v>
      </c>
      <c r="I86">
        <v>0.63609927478301076</v>
      </c>
      <c r="J86">
        <v>1</v>
      </c>
      <c r="K86">
        <v>1</v>
      </c>
      <c r="L86">
        <v>0.36390072521698924</v>
      </c>
      <c r="M86">
        <v>-1.0108741814641422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1"/>
        <v>0.21746558627060664</v>
      </c>
      <c r="I87">
        <v>0.55415315026759948</v>
      </c>
      <c r="J87">
        <v>1</v>
      </c>
      <c r="K87">
        <v>0</v>
      </c>
      <c r="L87">
        <v>0.55415315026759948</v>
      </c>
      <c r="M87">
        <v>-0.59031418591224782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1"/>
        <v>0.3537776272466327</v>
      </c>
      <c r="I88">
        <v>0.58753334294880766</v>
      </c>
      <c r="J88">
        <v>1</v>
      </c>
      <c r="K88">
        <v>0</v>
      </c>
      <c r="L88">
        <v>0.58753334294880766</v>
      </c>
      <c r="M88">
        <v>-0.53182228061885051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1"/>
        <v>0.87780715102893825</v>
      </c>
      <c r="I89">
        <v>0.70636760291019574</v>
      </c>
      <c r="J89">
        <v>1</v>
      </c>
      <c r="K89">
        <v>0</v>
      </c>
      <c r="L89">
        <v>0.70636760291019574</v>
      </c>
      <c r="M89">
        <v>-0.34761949298900147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1"/>
        <v>-9.921409834232664E-2</v>
      </c>
      <c r="I90">
        <v>0.47521680140183808</v>
      </c>
      <c r="J90">
        <v>0</v>
      </c>
      <c r="K90">
        <v>0</v>
      </c>
      <c r="L90">
        <v>0.52478319859816192</v>
      </c>
      <c r="M90">
        <v>-0.64477005673105181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1"/>
        <v>0.33890364279549146</v>
      </c>
      <c r="I91">
        <v>0.5839241801050189</v>
      </c>
      <c r="J91">
        <v>1</v>
      </c>
      <c r="K91">
        <v>1</v>
      </c>
      <c r="L91">
        <v>0.4160758198949811</v>
      </c>
      <c r="M91">
        <v>-0.87688777596515821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1"/>
        <v>0.33141060047883913</v>
      </c>
      <c r="I92">
        <v>0.58210255803172006</v>
      </c>
      <c r="J92">
        <v>1</v>
      </c>
      <c r="K92">
        <v>1</v>
      </c>
      <c r="L92">
        <v>0.41789744196827994</v>
      </c>
      <c r="M92">
        <v>-0.87251923070450366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2025-11-26T12:54:35Z</dcterms:modified>
</cp:coreProperties>
</file>