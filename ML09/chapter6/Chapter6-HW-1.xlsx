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4CFBCAD-EF84-4E13-9791-B01FE210F3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R" sheetId="1" r:id="rId1"/>
    <sheet name="Practice" sheetId="2" r:id="rId2"/>
  </sheets>
  <definedNames>
    <definedName name="Heart_disease_processed_cleveland___Copy" localSheetId="0">LR!$A$2:$N$298</definedName>
    <definedName name="Heart_disease_processed_cleveland___Copy" localSheetId="1">Practice!$A$6:$N$302</definedName>
    <definedName name="solver_adj" localSheetId="0" hidden="1">LR!#REF!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2" l="1"/>
  <c r="P305" i="2"/>
  <c r="Q305" i="2" s="1"/>
  <c r="R305" i="2" s="1"/>
  <c r="R306" i="2"/>
  <c r="P306" i="2"/>
  <c r="Q30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6" i="2"/>
  <c r="S1" i="2"/>
  <c r="S7" i="2" l="1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6" i="2"/>
  <c r="P9" i="2"/>
  <c r="P8" i="2"/>
  <c r="P7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6" i="2"/>
  <c r="N3" i="2" a="1"/>
  <c r="N3" i="2" s="1"/>
  <c r="B3" i="2" a="1"/>
  <c r="B3" i="2" s="1"/>
  <c r="C3" i="2" a="1"/>
  <c r="C3" i="2" s="1"/>
  <c r="D3" i="2" a="1"/>
  <c r="D3" i="2" s="1"/>
  <c r="E3" i="2" a="1"/>
  <c r="E3" i="2"/>
  <c r="F3" i="2" a="1"/>
  <c r="F3" i="2" s="1"/>
  <c r="G3" i="2" a="1"/>
  <c r="G3" i="2" s="1"/>
  <c r="H3" i="2" a="1"/>
  <c r="H3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36CEB1D-8DD9-4D08-B0E7-51F3967388A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<sst xmlns="http://schemas.openxmlformats.org/spreadsheetml/2006/main" count="57" uniqueCount="39">
  <si>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</si>
  <si>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</si>
  <si>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</si>
  <si>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</si>
  <si>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</si>
  <si>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</si>
  <si>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</si>
  <si>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</si>
  <si>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</si>
  <si>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</si>
  <si>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</si>
  <si>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</si>
  <si>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</si>
  <si>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</si>
  <si>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</si>
  <si>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?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</si>
  <si>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</si>
  <si>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</si>
  <si>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</si>
  <si>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</si>
  <si>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</si>
  <si>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</si>
  <si>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</si>
  <si>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</si>
  <si>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</si>
  <si>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</si>
  <si>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</si>
  <si>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</si>
  <si>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</si>
  <si>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</si>
  <si>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</si>
  <si>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</si>
  <si>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Outcome</t>
  </si>
  <si>
    <t>Difference</t>
  </si>
  <si>
    <t>total diff</t>
  </si>
  <si>
    <t>Likilyhood</t>
  </si>
  <si>
    <t>Ln(Likilyhood)</t>
  </si>
  <si>
    <t>To-minimize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</si>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</sst>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285749</xdr:colOff>
      <xdr:row>0</xdr:row>
      <xdr:rowOff>38100</xdr:rowOff>
    </xdr:from>
    <xdr:to>
      <xdr:col>23</xdr:col>
      <xdr:colOff>485774</xdr:colOff>
      <xdr:row>34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05549" y="38100"/>
          <a:ext cx="5686425" cy="661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199A1A07-4F87-452F-B329-F44D3E8C923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workbookViewId="0">
      <selection activeCell="S284" sqref="S284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</row>
    <row r="90" spans="1:14" x14ac:dyDescent="0.3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</row>
    <row r="92" spans="1:14" x14ac:dyDescent="0.3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1</v>
      </c>
    </row>
    <row r="93" spans="1:14" x14ac:dyDescent="0.3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</row>
    <row r="94" spans="1:14" x14ac:dyDescent="0.3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</row>
    <row r="95" spans="1:14" x14ac:dyDescent="0.3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</row>
    <row r="96" spans="1:14" x14ac:dyDescent="0.3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</row>
    <row r="97" spans="1:14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</row>
    <row r="98" spans="1:14" x14ac:dyDescent="0.3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1</v>
      </c>
    </row>
    <row r="99" spans="1:14" x14ac:dyDescent="0.3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</row>
    <row r="100" spans="1:14" x14ac:dyDescent="0.3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</row>
    <row r="101" spans="1:14" x14ac:dyDescent="0.3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3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</row>
    <row r="104" spans="1:14" x14ac:dyDescent="0.3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3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1</v>
      </c>
    </row>
    <row r="106" spans="1:14" x14ac:dyDescent="0.3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</row>
    <row r="107" spans="1:14" x14ac:dyDescent="0.3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1</v>
      </c>
    </row>
    <row r="108" spans="1:14" x14ac:dyDescent="0.3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</row>
    <row r="109" spans="1:14" x14ac:dyDescent="0.3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1</v>
      </c>
    </row>
    <row r="110" spans="1:14" x14ac:dyDescent="0.3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1</v>
      </c>
    </row>
    <row r="111" spans="1:14" x14ac:dyDescent="0.3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</row>
    <row r="112" spans="1:14" x14ac:dyDescent="0.3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</row>
    <row r="113" spans="1:14" x14ac:dyDescent="0.3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</row>
    <row r="114" spans="1:14" x14ac:dyDescent="0.3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1</v>
      </c>
    </row>
    <row r="115" spans="1:14" x14ac:dyDescent="0.3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1</v>
      </c>
    </row>
    <row r="116" spans="1:14" x14ac:dyDescent="0.3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</row>
    <row r="117" spans="1:14" x14ac:dyDescent="0.3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</row>
    <row r="119" spans="1:14" x14ac:dyDescent="0.3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1</v>
      </c>
    </row>
    <row r="120" spans="1:14" x14ac:dyDescent="0.3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1</v>
      </c>
    </row>
    <row r="121" spans="1:14" x14ac:dyDescent="0.3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1</v>
      </c>
    </row>
    <row r="122" spans="1:14" x14ac:dyDescent="0.3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1</v>
      </c>
    </row>
    <row r="123" spans="1:14" x14ac:dyDescent="0.3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</row>
    <row r="124" spans="1:14" x14ac:dyDescent="0.3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1</v>
      </c>
    </row>
    <row r="125" spans="1:14" x14ac:dyDescent="0.3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</row>
    <row r="126" spans="1:14" x14ac:dyDescent="0.3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</row>
    <row r="127" spans="1:14" x14ac:dyDescent="0.3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1</v>
      </c>
    </row>
    <row r="128" spans="1:14" x14ac:dyDescent="0.3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1</v>
      </c>
    </row>
    <row r="129" spans="1:14" x14ac:dyDescent="0.3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</row>
    <row r="130" spans="1:14" x14ac:dyDescent="0.3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3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</row>
    <row r="132" spans="1:14" x14ac:dyDescent="0.3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</row>
    <row r="133" spans="1:14" x14ac:dyDescent="0.3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</row>
    <row r="134" spans="1:14" x14ac:dyDescent="0.3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</row>
    <row r="136" spans="1:14" x14ac:dyDescent="0.3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1</v>
      </c>
    </row>
    <row r="138" spans="1:14" x14ac:dyDescent="0.3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1</v>
      </c>
    </row>
    <row r="139" spans="1:14" x14ac:dyDescent="0.3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</row>
    <row r="140" spans="1:14" x14ac:dyDescent="0.3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</row>
    <row r="141" spans="1:14" x14ac:dyDescent="0.3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</row>
    <row r="142" spans="1:14" x14ac:dyDescent="0.3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</row>
    <row r="143" spans="1:14" x14ac:dyDescent="0.3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</row>
    <row r="144" spans="1:14" x14ac:dyDescent="0.3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</row>
    <row r="145" spans="1:14" x14ac:dyDescent="0.3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</row>
    <row r="146" spans="1:14" x14ac:dyDescent="0.3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</row>
    <row r="147" spans="1:14" x14ac:dyDescent="0.3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1</v>
      </c>
    </row>
    <row r="148" spans="1:14" x14ac:dyDescent="0.3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</row>
    <row r="149" spans="1:14" x14ac:dyDescent="0.3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3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</row>
    <row r="151" spans="1:14" x14ac:dyDescent="0.3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</row>
    <row r="152" spans="1:14" x14ac:dyDescent="0.3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</row>
    <row r="153" spans="1:14" x14ac:dyDescent="0.3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</row>
    <row r="154" spans="1:14" x14ac:dyDescent="0.3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1</v>
      </c>
    </row>
    <row r="155" spans="1:14" x14ac:dyDescent="0.3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2.2000000000000002</v>
      </c>
      <c r="K155">
        <v>3</v>
      </c>
      <c r="L155">
        <v>1</v>
      </c>
      <c r="M155">
        <v>3</v>
      </c>
      <c r="N155">
        <v>1</v>
      </c>
    </row>
    <row r="156" spans="1:14" x14ac:dyDescent="0.3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</row>
    <row r="157" spans="1:14" x14ac:dyDescent="0.3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</row>
    <row r="158" spans="1:14" x14ac:dyDescent="0.3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</row>
    <row r="159" spans="1:14" x14ac:dyDescent="0.3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1</v>
      </c>
    </row>
    <row r="160" spans="1:14" x14ac:dyDescent="0.3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</row>
    <row r="161" spans="1:14" x14ac:dyDescent="0.3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</row>
    <row r="162" spans="1:14" x14ac:dyDescent="0.3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1</v>
      </c>
    </row>
    <row r="163" spans="1:14" x14ac:dyDescent="0.3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</row>
    <row r="164" spans="1:14" x14ac:dyDescent="0.3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</row>
    <row r="165" spans="1:14" x14ac:dyDescent="0.3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</row>
    <row r="166" spans="1:14" x14ac:dyDescent="0.3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</row>
    <row r="167" spans="1:14" x14ac:dyDescent="0.3">
      <c r="A167">
        <v>54</v>
      </c>
      <c r="B167">
        <v>0</v>
      </c>
      <c r="C167">
        <v>2</v>
      </c>
      <c r="D167">
        <v>132</v>
      </c>
      <c r="E167">
        <v>288</v>
      </c>
      <c r="F167">
        <v>1</v>
      </c>
      <c r="G167">
        <v>2</v>
      </c>
      <c r="H167">
        <v>159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0</v>
      </c>
    </row>
    <row r="168" spans="1:14" x14ac:dyDescent="0.3">
      <c r="A168">
        <v>35</v>
      </c>
      <c r="B168">
        <v>1</v>
      </c>
      <c r="C168">
        <v>4</v>
      </c>
      <c r="D168">
        <v>126</v>
      </c>
      <c r="E168">
        <v>282</v>
      </c>
      <c r="F168">
        <v>0</v>
      </c>
      <c r="G168">
        <v>2</v>
      </c>
      <c r="H168">
        <v>156</v>
      </c>
      <c r="I168">
        <v>1</v>
      </c>
      <c r="J168">
        <v>0</v>
      </c>
      <c r="K168">
        <v>1</v>
      </c>
      <c r="L168">
        <v>0</v>
      </c>
      <c r="M168">
        <v>7</v>
      </c>
      <c r="N168">
        <v>1</v>
      </c>
    </row>
    <row r="169" spans="1:14" x14ac:dyDescent="0.3">
      <c r="A169">
        <v>45</v>
      </c>
      <c r="B169">
        <v>0</v>
      </c>
      <c r="C169">
        <v>2</v>
      </c>
      <c r="D169">
        <v>112</v>
      </c>
      <c r="E169">
        <v>160</v>
      </c>
      <c r="F169">
        <v>0</v>
      </c>
      <c r="G169">
        <v>0</v>
      </c>
      <c r="H169">
        <v>138</v>
      </c>
      <c r="I169">
        <v>0</v>
      </c>
      <c r="J169">
        <v>0</v>
      </c>
      <c r="K169">
        <v>2</v>
      </c>
      <c r="L169">
        <v>0</v>
      </c>
      <c r="M169">
        <v>3</v>
      </c>
      <c r="N169">
        <v>0</v>
      </c>
    </row>
    <row r="170" spans="1:14" x14ac:dyDescent="0.3">
      <c r="A170">
        <v>70</v>
      </c>
      <c r="B170">
        <v>1</v>
      </c>
      <c r="C170">
        <v>3</v>
      </c>
      <c r="D170">
        <v>160</v>
      </c>
      <c r="E170">
        <v>269</v>
      </c>
      <c r="F170">
        <v>0</v>
      </c>
      <c r="G170">
        <v>0</v>
      </c>
      <c r="H170">
        <v>112</v>
      </c>
      <c r="I170">
        <v>1</v>
      </c>
      <c r="J170">
        <v>2.9</v>
      </c>
      <c r="K170">
        <v>2</v>
      </c>
      <c r="L170">
        <v>1</v>
      </c>
      <c r="M170">
        <v>7</v>
      </c>
      <c r="N170">
        <v>1</v>
      </c>
    </row>
    <row r="171" spans="1:14" x14ac:dyDescent="0.3">
      <c r="A171">
        <v>53</v>
      </c>
      <c r="B171">
        <v>1</v>
      </c>
      <c r="C171">
        <v>4</v>
      </c>
      <c r="D171">
        <v>142</v>
      </c>
      <c r="E171">
        <v>226</v>
      </c>
      <c r="F171">
        <v>0</v>
      </c>
      <c r="G171">
        <v>2</v>
      </c>
      <c r="H171">
        <v>111</v>
      </c>
      <c r="I171">
        <v>1</v>
      </c>
      <c r="J171">
        <v>0</v>
      </c>
      <c r="K171">
        <v>1</v>
      </c>
      <c r="L171">
        <v>0</v>
      </c>
      <c r="M171">
        <v>7</v>
      </c>
      <c r="N171">
        <v>0</v>
      </c>
    </row>
    <row r="172" spans="1:14" x14ac:dyDescent="0.3">
      <c r="A172">
        <v>59</v>
      </c>
      <c r="B172">
        <v>0</v>
      </c>
      <c r="C172">
        <v>4</v>
      </c>
      <c r="D172">
        <v>174</v>
      </c>
      <c r="E172">
        <v>249</v>
      </c>
      <c r="F172">
        <v>0</v>
      </c>
      <c r="G172">
        <v>0</v>
      </c>
      <c r="H172">
        <v>143</v>
      </c>
      <c r="I172">
        <v>1</v>
      </c>
      <c r="J172">
        <v>0</v>
      </c>
      <c r="K172">
        <v>2</v>
      </c>
      <c r="L172">
        <v>0</v>
      </c>
      <c r="M172">
        <v>3</v>
      </c>
      <c r="N172">
        <v>1</v>
      </c>
    </row>
    <row r="173" spans="1:14" x14ac:dyDescent="0.3">
      <c r="A173">
        <v>62</v>
      </c>
      <c r="B173">
        <v>0</v>
      </c>
      <c r="C173">
        <v>4</v>
      </c>
      <c r="D173">
        <v>140</v>
      </c>
      <c r="E173">
        <v>394</v>
      </c>
      <c r="F173">
        <v>0</v>
      </c>
      <c r="G173">
        <v>2</v>
      </c>
      <c r="H173">
        <v>157</v>
      </c>
      <c r="I173">
        <v>0</v>
      </c>
      <c r="J173">
        <v>1.2</v>
      </c>
      <c r="K173">
        <v>2</v>
      </c>
      <c r="L173">
        <v>0</v>
      </c>
      <c r="M173">
        <v>3</v>
      </c>
      <c r="N173">
        <v>0</v>
      </c>
    </row>
    <row r="174" spans="1:14" x14ac:dyDescent="0.3">
      <c r="A174">
        <v>64</v>
      </c>
      <c r="B174">
        <v>1</v>
      </c>
      <c r="C174">
        <v>4</v>
      </c>
      <c r="D174">
        <v>145</v>
      </c>
      <c r="E174">
        <v>212</v>
      </c>
      <c r="F174">
        <v>0</v>
      </c>
      <c r="G174">
        <v>2</v>
      </c>
      <c r="H174">
        <v>132</v>
      </c>
      <c r="I174">
        <v>0</v>
      </c>
      <c r="J174">
        <v>2</v>
      </c>
      <c r="K174">
        <v>2</v>
      </c>
      <c r="L174">
        <v>2</v>
      </c>
      <c r="M174">
        <v>6</v>
      </c>
      <c r="N174">
        <v>1</v>
      </c>
    </row>
    <row r="175" spans="1:14" x14ac:dyDescent="0.3">
      <c r="A175">
        <v>57</v>
      </c>
      <c r="B175">
        <v>1</v>
      </c>
      <c r="C175">
        <v>4</v>
      </c>
      <c r="D175">
        <v>152</v>
      </c>
      <c r="E175">
        <v>274</v>
      </c>
      <c r="F175">
        <v>0</v>
      </c>
      <c r="G175">
        <v>0</v>
      </c>
      <c r="H175">
        <v>88</v>
      </c>
      <c r="I175">
        <v>1</v>
      </c>
      <c r="J175">
        <v>1.2</v>
      </c>
      <c r="K175">
        <v>2</v>
      </c>
      <c r="L175">
        <v>1</v>
      </c>
      <c r="M175">
        <v>7</v>
      </c>
      <c r="N175">
        <v>1</v>
      </c>
    </row>
    <row r="176" spans="1:14" x14ac:dyDescent="0.3">
      <c r="A176">
        <v>52</v>
      </c>
      <c r="B176">
        <v>1</v>
      </c>
      <c r="C176">
        <v>4</v>
      </c>
      <c r="D176">
        <v>108</v>
      </c>
      <c r="E176">
        <v>233</v>
      </c>
      <c r="F176">
        <v>1</v>
      </c>
      <c r="G176">
        <v>0</v>
      </c>
      <c r="H176">
        <v>147</v>
      </c>
      <c r="I176">
        <v>0</v>
      </c>
      <c r="J176">
        <v>0.1</v>
      </c>
      <c r="K176">
        <v>1</v>
      </c>
      <c r="L176">
        <v>3</v>
      </c>
      <c r="M176">
        <v>7</v>
      </c>
      <c r="N176">
        <v>0</v>
      </c>
    </row>
    <row r="177" spans="1:14" x14ac:dyDescent="0.3">
      <c r="A177">
        <v>56</v>
      </c>
      <c r="B177">
        <v>1</v>
      </c>
      <c r="C177">
        <v>4</v>
      </c>
      <c r="D177">
        <v>132</v>
      </c>
      <c r="E177">
        <v>184</v>
      </c>
      <c r="F177">
        <v>0</v>
      </c>
      <c r="G177">
        <v>2</v>
      </c>
      <c r="H177">
        <v>105</v>
      </c>
      <c r="I177">
        <v>1</v>
      </c>
      <c r="J177">
        <v>2.1</v>
      </c>
      <c r="K177">
        <v>2</v>
      </c>
      <c r="L177">
        <v>1</v>
      </c>
      <c r="M177">
        <v>6</v>
      </c>
      <c r="N177">
        <v>1</v>
      </c>
    </row>
    <row r="178" spans="1:14" x14ac:dyDescent="0.3">
      <c r="A178">
        <v>43</v>
      </c>
      <c r="B178">
        <v>1</v>
      </c>
      <c r="C178">
        <v>3</v>
      </c>
      <c r="D178">
        <v>130</v>
      </c>
      <c r="E178">
        <v>315</v>
      </c>
      <c r="F178">
        <v>0</v>
      </c>
      <c r="G178">
        <v>0</v>
      </c>
      <c r="H178">
        <v>162</v>
      </c>
      <c r="I178">
        <v>0</v>
      </c>
      <c r="J178">
        <v>1.9</v>
      </c>
      <c r="K178">
        <v>1</v>
      </c>
      <c r="L178">
        <v>1</v>
      </c>
      <c r="M178">
        <v>3</v>
      </c>
      <c r="N178">
        <v>0</v>
      </c>
    </row>
    <row r="179" spans="1:14" x14ac:dyDescent="0.3">
      <c r="A179">
        <v>53</v>
      </c>
      <c r="B179">
        <v>1</v>
      </c>
      <c r="C179">
        <v>3</v>
      </c>
      <c r="D179">
        <v>130</v>
      </c>
      <c r="E179">
        <v>246</v>
      </c>
      <c r="F179">
        <v>1</v>
      </c>
      <c r="G179">
        <v>2</v>
      </c>
      <c r="H179">
        <v>173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0</v>
      </c>
    </row>
    <row r="180" spans="1:14" x14ac:dyDescent="0.3">
      <c r="A180">
        <v>48</v>
      </c>
      <c r="B180">
        <v>1</v>
      </c>
      <c r="C180">
        <v>4</v>
      </c>
      <c r="D180">
        <v>124</v>
      </c>
      <c r="E180">
        <v>274</v>
      </c>
      <c r="F180">
        <v>0</v>
      </c>
      <c r="G180">
        <v>2</v>
      </c>
      <c r="H180">
        <v>166</v>
      </c>
      <c r="I180">
        <v>0</v>
      </c>
      <c r="J180">
        <v>0.5</v>
      </c>
      <c r="K180">
        <v>2</v>
      </c>
      <c r="L180">
        <v>0</v>
      </c>
      <c r="M180">
        <v>7</v>
      </c>
      <c r="N180">
        <v>1</v>
      </c>
    </row>
    <row r="181" spans="1:14" x14ac:dyDescent="0.3">
      <c r="A181">
        <v>56</v>
      </c>
      <c r="B181">
        <v>0</v>
      </c>
      <c r="C181">
        <v>4</v>
      </c>
      <c r="D181">
        <v>134</v>
      </c>
      <c r="E181">
        <v>409</v>
      </c>
      <c r="F181">
        <v>0</v>
      </c>
      <c r="G181">
        <v>2</v>
      </c>
      <c r="H181">
        <v>150</v>
      </c>
      <c r="I181">
        <v>1</v>
      </c>
      <c r="J181">
        <v>1.9</v>
      </c>
      <c r="K181">
        <v>2</v>
      </c>
      <c r="L181">
        <v>2</v>
      </c>
      <c r="M181">
        <v>7</v>
      </c>
      <c r="N181">
        <v>1</v>
      </c>
    </row>
    <row r="182" spans="1:14" x14ac:dyDescent="0.3">
      <c r="A182">
        <v>42</v>
      </c>
      <c r="B182">
        <v>1</v>
      </c>
      <c r="C182">
        <v>1</v>
      </c>
      <c r="D182">
        <v>148</v>
      </c>
      <c r="E182">
        <v>244</v>
      </c>
      <c r="F182">
        <v>0</v>
      </c>
      <c r="G182">
        <v>2</v>
      </c>
      <c r="H182">
        <v>178</v>
      </c>
      <c r="I182">
        <v>0</v>
      </c>
      <c r="J182">
        <v>0.8</v>
      </c>
      <c r="K182">
        <v>1</v>
      </c>
      <c r="L182">
        <v>2</v>
      </c>
      <c r="M182">
        <v>3</v>
      </c>
      <c r="N182">
        <v>0</v>
      </c>
    </row>
    <row r="183" spans="1:14" x14ac:dyDescent="0.3">
      <c r="A183">
        <v>59</v>
      </c>
      <c r="B183">
        <v>1</v>
      </c>
      <c r="C183">
        <v>1</v>
      </c>
      <c r="D183">
        <v>178</v>
      </c>
      <c r="E183">
        <v>270</v>
      </c>
      <c r="F183">
        <v>0</v>
      </c>
      <c r="G183">
        <v>2</v>
      </c>
      <c r="H183">
        <v>145</v>
      </c>
      <c r="I183">
        <v>0</v>
      </c>
      <c r="J183">
        <v>4.2</v>
      </c>
      <c r="K183">
        <v>3</v>
      </c>
      <c r="L183">
        <v>0</v>
      </c>
      <c r="M183">
        <v>7</v>
      </c>
      <c r="N183">
        <v>0</v>
      </c>
    </row>
    <row r="184" spans="1:14" x14ac:dyDescent="0.3">
      <c r="A184">
        <v>60</v>
      </c>
      <c r="B184">
        <v>0</v>
      </c>
      <c r="C184">
        <v>4</v>
      </c>
      <c r="D184">
        <v>158</v>
      </c>
      <c r="E184">
        <v>305</v>
      </c>
      <c r="F184">
        <v>0</v>
      </c>
      <c r="G184">
        <v>2</v>
      </c>
      <c r="H184">
        <v>161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1</v>
      </c>
    </row>
    <row r="185" spans="1:14" x14ac:dyDescent="0.3">
      <c r="A185">
        <v>63</v>
      </c>
      <c r="B185">
        <v>0</v>
      </c>
      <c r="C185">
        <v>2</v>
      </c>
      <c r="D185">
        <v>140</v>
      </c>
      <c r="E185">
        <v>195</v>
      </c>
      <c r="F185">
        <v>0</v>
      </c>
      <c r="G185">
        <v>0</v>
      </c>
      <c r="H185">
        <v>179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0</v>
      </c>
    </row>
    <row r="186" spans="1:14" x14ac:dyDescent="0.3">
      <c r="A186">
        <v>42</v>
      </c>
      <c r="B186">
        <v>1</v>
      </c>
      <c r="C186">
        <v>3</v>
      </c>
      <c r="D186">
        <v>120</v>
      </c>
      <c r="E186">
        <v>240</v>
      </c>
      <c r="F186">
        <v>1</v>
      </c>
      <c r="G186">
        <v>0</v>
      </c>
      <c r="H186">
        <v>194</v>
      </c>
      <c r="I186">
        <v>0</v>
      </c>
      <c r="J186">
        <v>0.8</v>
      </c>
      <c r="K186">
        <v>3</v>
      </c>
      <c r="L186">
        <v>0</v>
      </c>
      <c r="M186">
        <v>7</v>
      </c>
      <c r="N186">
        <v>0</v>
      </c>
    </row>
    <row r="187" spans="1:14" x14ac:dyDescent="0.3">
      <c r="A187">
        <v>66</v>
      </c>
      <c r="B187">
        <v>1</v>
      </c>
      <c r="C187">
        <v>2</v>
      </c>
      <c r="D187">
        <v>160</v>
      </c>
      <c r="E187">
        <v>246</v>
      </c>
      <c r="F187">
        <v>0</v>
      </c>
      <c r="G187">
        <v>0</v>
      </c>
      <c r="H187">
        <v>120</v>
      </c>
      <c r="I187">
        <v>1</v>
      </c>
      <c r="J187">
        <v>0</v>
      </c>
      <c r="K187">
        <v>2</v>
      </c>
      <c r="L187">
        <v>3</v>
      </c>
      <c r="M187">
        <v>6</v>
      </c>
      <c r="N187">
        <v>1</v>
      </c>
    </row>
    <row r="188" spans="1:14" x14ac:dyDescent="0.3">
      <c r="A188">
        <v>54</v>
      </c>
      <c r="B188">
        <v>1</v>
      </c>
      <c r="C188">
        <v>2</v>
      </c>
      <c r="D188">
        <v>192</v>
      </c>
      <c r="E188">
        <v>283</v>
      </c>
      <c r="F188">
        <v>0</v>
      </c>
      <c r="G188">
        <v>2</v>
      </c>
      <c r="H188">
        <v>195</v>
      </c>
      <c r="I188">
        <v>0</v>
      </c>
      <c r="J188">
        <v>0</v>
      </c>
      <c r="K188">
        <v>1</v>
      </c>
      <c r="L188">
        <v>1</v>
      </c>
      <c r="M188">
        <v>7</v>
      </c>
      <c r="N188">
        <v>1</v>
      </c>
    </row>
    <row r="189" spans="1:14" x14ac:dyDescent="0.3">
      <c r="A189">
        <v>69</v>
      </c>
      <c r="B189">
        <v>1</v>
      </c>
      <c r="C189">
        <v>3</v>
      </c>
      <c r="D189">
        <v>140</v>
      </c>
      <c r="E189">
        <v>254</v>
      </c>
      <c r="F189">
        <v>0</v>
      </c>
      <c r="G189">
        <v>2</v>
      </c>
      <c r="H189">
        <v>146</v>
      </c>
      <c r="I189">
        <v>0</v>
      </c>
      <c r="J189">
        <v>2</v>
      </c>
      <c r="K189">
        <v>2</v>
      </c>
      <c r="L189">
        <v>3</v>
      </c>
      <c r="M189">
        <v>7</v>
      </c>
      <c r="N189">
        <v>1</v>
      </c>
    </row>
    <row r="190" spans="1:14" x14ac:dyDescent="0.3">
      <c r="A190">
        <v>50</v>
      </c>
      <c r="B190">
        <v>1</v>
      </c>
      <c r="C190">
        <v>3</v>
      </c>
      <c r="D190">
        <v>129</v>
      </c>
      <c r="E190">
        <v>196</v>
      </c>
      <c r="F190">
        <v>0</v>
      </c>
      <c r="G190">
        <v>0</v>
      </c>
      <c r="H190">
        <v>163</v>
      </c>
      <c r="I190">
        <v>0</v>
      </c>
      <c r="J190">
        <v>0</v>
      </c>
      <c r="K190">
        <v>1</v>
      </c>
      <c r="L190">
        <v>0</v>
      </c>
      <c r="M190">
        <v>3</v>
      </c>
      <c r="N190">
        <v>0</v>
      </c>
    </row>
    <row r="191" spans="1:14" x14ac:dyDescent="0.3">
      <c r="A191">
        <v>51</v>
      </c>
      <c r="B191">
        <v>1</v>
      </c>
      <c r="C191">
        <v>4</v>
      </c>
      <c r="D191">
        <v>140</v>
      </c>
      <c r="E191">
        <v>298</v>
      </c>
      <c r="F191">
        <v>0</v>
      </c>
      <c r="G191">
        <v>0</v>
      </c>
      <c r="H191">
        <v>122</v>
      </c>
      <c r="I191">
        <v>1</v>
      </c>
      <c r="J191">
        <v>4.2</v>
      </c>
      <c r="K191">
        <v>2</v>
      </c>
      <c r="L191">
        <v>3</v>
      </c>
      <c r="M191">
        <v>7</v>
      </c>
      <c r="N191">
        <v>1</v>
      </c>
    </row>
    <row r="192" spans="1:14" x14ac:dyDescent="0.3">
      <c r="A192">
        <v>62</v>
      </c>
      <c r="B192">
        <v>0</v>
      </c>
      <c r="C192">
        <v>4</v>
      </c>
      <c r="D192">
        <v>138</v>
      </c>
      <c r="E192">
        <v>294</v>
      </c>
      <c r="F192">
        <v>1</v>
      </c>
      <c r="G192">
        <v>0</v>
      </c>
      <c r="H192">
        <v>106</v>
      </c>
      <c r="I192">
        <v>0</v>
      </c>
      <c r="J192">
        <v>1.9</v>
      </c>
      <c r="K192">
        <v>2</v>
      </c>
      <c r="L192">
        <v>3</v>
      </c>
      <c r="M192">
        <v>3</v>
      </c>
      <c r="N192">
        <v>1</v>
      </c>
    </row>
    <row r="193" spans="1:14" x14ac:dyDescent="0.3">
      <c r="A193">
        <v>68</v>
      </c>
      <c r="B193">
        <v>0</v>
      </c>
      <c r="C193">
        <v>3</v>
      </c>
      <c r="D193">
        <v>120</v>
      </c>
      <c r="E193">
        <v>211</v>
      </c>
      <c r="F193">
        <v>0</v>
      </c>
      <c r="G193">
        <v>2</v>
      </c>
      <c r="H193">
        <v>115</v>
      </c>
      <c r="I193">
        <v>0</v>
      </c>
      <c r="J193">
        <v>1.5</v>
      </c>
      <c r="K193">
        <v>2</v>
      </c>
      <c r="L193">
        <v>0</v>
      </c>
      <c r="M193">
        <v>3</v>
      </c>
      <c r="N193">
        <v>0</v>
      </c>
    </row>
    <row r="194" spans="1:14" x14ac:dyDescent="0.3">
      <c r="A194">
        <v>67</v>
      </c>
      <c r="B194">
        <v>1</v>
      </c>
      <c r="C194">
        <v>4</v>
      </c>
      <c r="D194">
        <v>100</v>
      </c>
      <c r="E194">
        <v>299</v>
      </c>
      <c r="F194">
        <v>0</v>
      </c>
      <c r="G194">
        <v>2</v>
      </c>
      <c r="H194">
        <v>125</v>
      </c>
      <c r="I194">
        <v>1</v>
      </c>
      <c r="J194">
        <v>0.9</v>
      </c>
      <c r="K194">
        <v>2</v>
      </c>
      <c r="L194">
        <v>2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1</v>
      </c>
      <c r="D195">
        <v>160</v>
      </c>
      <c r="E195">
        <v>234</v>
      </c>
      <c r="F195">
        <v>1</v>
      </c>
      <c r="G195">
        <v>2</v>
      </c>
      <c r="H195">
        <v>131</v>
      </c>
      <c r="I195">
        <v>0</v>
      </c>
      <c r="J195">
        <v>0.1</v>
      </c>
      <c r="K195">
        <v>2</v>
      </c>
      <c r="L195">
        <v>1</v>
      </c>
      <c r="M195">
        <v>3</v>
      </c>
      <c r="N195">
        <v>0</v>
      </c>
    </row>
    <row r="196" spans="1:14" x14ac:dyDescent="0.3">
      <c r="A196">
        <v>45</v>
      </c>
      <c r="B196">
        <v>0</v>
      </c>
      <c r="C196">
        <v>4</v>
      </c>
      <c r="D196">
        <v>138</v>
      </c>
      <c r="E196">
        <v>236</v>
      </c>
      <c r="F196">
        <v>0</v>
      </c>
      <c r="G196">
        <v>2</v>
      </c>
      <c r="H196">
        <v>152</v>
      </c>
      <c r="I196">
        <v>1</v>
      </c>
      <c r="J196">
        <v>0.2</v>
      </c>
      <c r="K196">
        <v>2</v>
      </c>
      <c r="L196">
        <v>0</v>
      </c>
      <c r="M196">
        <v>3</v>
      </c>
      <c r="N196">
        <v>0</v>
      </c>
    </row>
    <row r="197" spans="1:14" x14ac:dyDescent="0.3">
      <c r="A197">
        <v>50</v>
      </c>
      <c r="B197">
        <v>0</v>
      </c>
      <c r="C197">
        <v>2</v>
      </c>
      <c r="D197">
        <v>120</v>
      </c>
      <c r="E197">
        <v>244</v>
      </c>
      <c r="F197">
        <v>0</v>
      </c>
      <c r="G197">
        <v>0</v>
      </c>
      <c r="H197">
        <v>162</v>
      </c>
      <c r="I197">
        <v>0</v>
      </c>
      <c r="J197">
        <v>1.1000000000000001</v>
      </c>
      <c r="K197">
        <v>1</v>
      </c>
      <c r="L197">
        <v>0</v>
      </c>
      <c r="M197">
        <v>3</v>
      </c>
      <c r="N197">
        <v>0</v>
      </c>
    </row>
    <row r="198" spans="1:14" x14ac:dyDescent="0.3">
      <c r="A198">
        <v>59</v>
      </c>
      <c r="B198">
        <v>1</v>
      </c>
      <c r="C198">
        <v>1</v>
      </c>
      <c r="D198">
        <v>160</v>
      </c>
      <c r="E198">
        <v>273</v>
      </c>
      <c r="F198">
        <v>0</v>
      </c>
      <c r="G198">
        <v>2</v>
      </c>
      <c r="H198">
        <v>125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1</v>
      </c>
    </row>
    <row r="199" spans="1:14" x14ac:dyDescent="0.3">
      <c r="A199">
        <v>50</v>
      </c>
      <c r="B199">
        <v>0</v>
      </c>
      <c r="C199">
        <v>4</v>
      </c>
      <c r="D199">
        <v>110</v>
      </c>
      <c r="E199">
        <v>254</v>
      </c>
      <c r="F199">
        <v>0</v>
      </c>
      <c r="G199">
        <v>2</v>
      </c>
      <c r="H199">
        <v>159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 x14ac:dyDescent="0.3">
      <c r="A200">
        <v>64</v>
      </c>
      <c r="B200">
        <v>0</v>
      </c>
      <c r="C200">
        <v>4</v>
      </c>
      <c r="D200">
        <v>180</v>
      </c>
      <c r="E200">
        <v>325</v>
      </c>
      <c r="F200">
        <v>0</v>
      </c>
      <c r="G200">
        <v>0</v>
      </c>
      <c r="H200">
        <v>154</v>
      </c>
      <c r="I200">
        <v>1</v>
      </c>
      <c r="J200">
        <v>0</v>
      </c>
      <c r="K200">
        <v>1</v>
      </c>
      <c r="L200">
        <v>0</v>
      </c>
      <c r="M200">
        <v>3</v>
      </c>
      <c r="N200">
        <v>0</v>
      </c>
    </row>
    <row r="201" spans="1:14" x14ac:dyDescent="0.3">
      <c r="A201">
        <v>57</v>
      </c>
      <c r="B201">
        <v>1</v>
      </c>
      <c r="C201">
        <v>3</v>
      </c>
      <c r="D201">
        <v>150</v>
      </c>
      <c r="E201">
        <v>126</v>
      </c>
      <c r="F201">
        <v>1</v>
      </c>
      <c r="G201">
        <v>0</v>
      </c>
      <c r="H201">
        <v>173</v>
      </c>
      <c r="I201">
        <v>0</v>
      </c>
      <c r="J201">
        <v>0.2</v>
      </c>
      <c r="K201">
        <v>1</v>
      </c>
      <c r="L201">
        <v>1</v>
      </c>
      <c r="M201">
        <v>7</v>
      </c>
      <c r="N201">
        <v>0</v>
      </c>
    </row>
    <row r="202" spans="1:14" x14ac:dyDescent="0.3">
      <c r="A202">
        <v>64</v>
      </c>
      <c r="B202">
        <v>0</v>
      </c>
      <c r="C202">
        <v>3</v>
      </c>
      <c r="D202">
        <v>140</v>
      </c>
      <c r="E202">
        <v>313</v>
      </c>
      <c r="F202">
        <v>0</v>
      </c>
      <c r="G202">
        <v>0</v>
      </c>
      <c r="H202">
        <v>133</v>
      </c>
      <c r="I202">
        <v>0</v>
      </c>
      <c r="J202">
        <v>0.2</v>
      </c>
      <c r="K202">
        <v>1</v>
      </c>
      <c r="L202">
        <v>0</v>
      </c>
      <c r="M202">
        <v>7</v>
      </c>
      <c r="N202">
        <v>0</v>
      </c>
    </row>
    <row r="203" spans="1:14" x14ac:dyDescent="0.3">
      <c r="A203">
        <v>43</v>
      </c>
      <c r="B203">
        <v>1</v>
      </c>
      <c r="C203">
        <v>4</v>
      </c>
      <c r="D203">
        <v>110</v>
      </c>
      <c r="E203">
        <v>211</v>
      </c>
      <c r="F203">
        <v>0</v>
      </c>
      <c r="G203">
        <v>0</v>
      </c>
      <c r="H203">
        <v>161</v>
      </c>
      <c r="I203">
        <v>0</v>
      </c>
      <c r="J203">
        <v>0</v>
      </c>
      <c r="K203">
        <v>1</v>
      </c>
      <c r="L203">
        <v>0</v>
      </c>
      <c r="M203">
        <v>7</v>
      </c>
      <c r="N203">
        <v>0</v>
      </c>
    </row>
    <row r="204" spans="1:14" x14ac:dyDescent="0.3">
      <c r="A204">
        <v>45</v>
      </c>
      <c r="B204">
        <v>1</v>
      </c>
      <c r="C204">
        <v>4</v>
      </c>
      <c r="D204">
        <v>142</v>
      </c>
      <c r="E204">
        <v>309</v>
      </c>
      <c r="F204">
        <v>0</v>
      </c>
      <c r="G204">
        <v>2</v>
      </c>
      <c r="H204">
        <v>147</v>
      </c>
      <c r="I204">
        <v>1</v>
      </c>
      <c r="J204">
        <v>0</v>
      </c>
      <c r="K204">
        <v>2</v>
      </c>
      <c r="L204">
        <v>3</v>
      </c>
      <c r="M204">
        <v>7</v>
      </c>
      <c r="N204">
        <v>1</v>
      </c>
    </row>
    <row r="205" spans="1:14" x14ac:dyDescent="0.3">
      <c r="A205">
        <v>58</v>
      </c>
      <c r="B205">
        <v>1</v>
      </c>
      <c r="C205">
        <v>4</v>
      </c>
      <c r="D205">
        <v>128</v>
      </c>
      <c r="E205">
        <v>259</v>
      </c>
      <c r="F205">
        <v>0</v>
      </c>
      <c r="G205">
        <v>2</v>
      </c>
      <c r="H205">
        <v>130</v>
      </c>
      <c r="I205">
        <v>1</v>
      </c>
      <c r="J205">
        <v>3</v>
      </c>
      <c r="K205">
        <v>2</v>
      </c>
      <c r="L205">
        <v>2</v>
      </c>
      <c r="M205">
        <v>7</v>
      </c>
      <c r="N205">
        <v>1</v>
      </c>
    </row>
    <row r="206" spans="1:14" x14ac:dyDescent="0.3">
      <c r="A206">
        <v>50</v>
      </c>
      <c r="B206">
        <v>1</v>
      </c>
      <c r="C206">
        <v>4</v>
      </c>
      <c r="D206">
        <v>144</v>
      </c>
      <c r="E206">
        <v>200</v>
      </c>
      <c r="F206">
        <v>0</v>
      </c>
      <c r="G206">
        <v>2</v>
      </c>
      <c r="H206">
        <v>126</v>
      </c>
      <c r="I206">
        <v>1</v>
      </c>
      <c r="J206">
        <v>0.9</v>
      </c>
      <c r="K206">
        <v>2</v>
      </c>
      <c r="L206">
        <v>0</v>
      </c>
      <c r="M206">
        <v>7</v>
      </c>
      <c r="N206">
        <v>1</v>
      </c>
    </row>
    <row r="207" spans="1:14" x14ac:dyDescent="0.3">
      <c r="A207">
        <v>55</v>
      </c>
      <c r="B207">
        <v>1</v>
      </c>
      <c r="C207">
        <v>2</v>
      </c>
      <c r="D207">
        <v>130</v>
      </c>
      <c r="E207">
        <v>262</v>
      </c>
      <c r="F207">
        <v>0</v>
      </c>
      <c r="G207">
        <v>0</v>
      </c>
      <c r="H207">
        <v>155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0</v>
      </c>
    </row>
    <row r="208" spans="1:14" x14ac:dyDescent="0.3">
      <c r="A208">
        <v>62</v>
      </c>
      <c r="B208">
        <v>0</v>
      </c>
      <c r="C208">
        <v>4</v>
      </c>
      <c r="D208">
        <v>150</v>
      </c>
      <c r="E208">
        <v>244</v>
      </c>
      <c r="F208">
        <v>0</v>
      </c>
      <c r="G208">
        <v>0</v>
      </c>
      <c r="H208">
        <v>154</v>
      </c>
      <c r="I208">
        <v>1</v>
      </c>
      <c r="J208">
        <v>1.4</v>
      </c>
      <c r="K208">
        <v>2</v>
      </c>
      <c r="L208">
        <v>0</v>
      </c>
      <c r="M208">
        <v>3</v>
      </c>
      <c r="N208">
        <v>1</v>
      </c>
    </row>
    <row r="209" spans="1:14" x14ac:dyDescent="0.3">
      <c r="A209">
        <v>37</v>
      </c>
      <c r="B209">
        <v>0</v>
      </c>
      <c r="C209">
        <v>3</v>
      </c>
      <c r="D209">
        <v>120</v>
      </c>
      <c r="E209">
        <v>215</v>
      </c>
      <c r="F209">
        <v>0</v>
      </c>
      <c r="G209">
        <v>0</v>
      </c>
      <c r="H209">
        <v>170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</row>
    <row r="210" spans="1:14" x14ac:dyDescent="0.3">
      <c r="A210">
        <v>38</v>
      </c>
      <c r="B210">
        <v>1</v>
      </c>
      <c r="C210">
        <v>1</v>
      </c>
      <c r="D210">
        <v>120</v>
      </c>
      <c r="E210">
        <v>231</v>
      </c>
      <c r="F210">
        <v>0</v>
      </c>
      <c r="G210">
        <v>0</v>
      </c>
      <c r="H210">
        <v>182</v>
      </c>
      <c r="I210">
        <v>1</v>
      </c>
      <c r="J210">
        <v>3.8</v>
      </c>
      <c r="K210">
        <v>2</v>
      </c>
      <c r="L210">
        <v>0</v>
      </c>
      <c r="M210">
        <v>7</v>
      </c>
      <c r="N210">
        <v>1</v>
      </c>
    </row>
    <row r="211" spans="1:14" x14ac:dyDescent="0.3">
      <c r="A211">
        <v>41</v>
      </c>
      <c r="B211">
        <v>1</v>
      </c>
      <c r="C211">
        <v>3</v>
      </c>
      <c r="D211">
        <v>130</v>
      </c>
      <c r="E211">
        <v>214</v>
      </c>
      <c r="F211">
        <v>0</v>
      </c>
      <c r="G211">
        <v>2</v>
      </c>
      <c r="H211">
        <v>168</v>
      </c>
      <c r="I211">
        <v>0</v>
      </c>
      <c r="J211">
        <v>2</v>
      </c>
      <c r="K211">
        <v>2</v>
      </c>
      <c r="L211">
        <v>0</v>
      </c>
      <c r="M211">
        <v>3</v>
      </c>
      <c r="N211">
        <v>0</v>
      </c>
    </row>
    <row r="212" spans="1:14" x14ac:dyDescent="0.3">
      <c r="A212">
        <v>66</v>
      </c>
      <c r="B212">
        <v>0</v>
      </c>
      <c r="C212">
        <v>4</v>
      </c>
      <c r="D212">
        <v>178</v>
      </c>
      <c r="E212">
        <v>228</v>
      </c>
      <c r="F212">
        <v>1</v>
      </c>
      <c r="G212">
        <v>0</v>
      </c>
      <c r="H212">
        <v>165</v>
      </c>
      <c r="I212">
        <v>1</v>
      </c>
      <c r="J212">
        <v>1</v>
      </c>
      <c r="K212">
        <v>2</v>
      </c>
      <c r="L212">
        <v>2</v>
      </c>
      <c r="M212">
        <v>7</v>
      </c>
      <c r="N212">
        <v>1</v>
      </c>
    </row>
    <row r="213" spans="1:14" x14ac:dyDescent="0.3">
      <c r="A213">
        <v>52</v>
      </c>
      <c r="B213">
        <v>1</v>
      </c>
      <c r="C213">
        <v>4</v>
      </c>
      <c r="D213">
        <v>112</v>
      </c>
      <c r="E213">
        <v>230</v>
      </c>
      <c r="F213">
        <v>0</v>
      </c>
      <c r="G213">
        <v>0</v>
      </c>
      <c r="H213">
        <v>160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1</v>
      </c>
    </row>
    <row r="214" spans="1:14" x14ac:dyDescent="0.3">
      <c r="A214">
        <v>56</v>
      </c>
      <c r="B214">
        <v>1</v>
      </c>
      <c r="C214">
        <v>1</v>
      </c>
      <c r="D214">
        <v>120</v>
      </c>
      <c r="E214">
        <v>193</v>
      </c>
      <c r="F214">
        <v>0</v>
      </c>
      <c r="G214">
        <v>2</v>
      </c>
      <c r="H214">
        <v>162</v>
      </c>
      <c r="I214">
        <v>0</v>
      </c>
      <c r="J214">
        <v>1.9</v>
      </c>
      <c r="K214">
        <v>2</v>
      </c>
      <c r="L214">
        <v>0</v>
      </c>
      <c r="M214">
        <v>7</v>
      </c>
      <c r="N214">
        <v>0</v>
      </c>
    </row>
    <row r="215" spans="1:14" x14ac:dyDescent="0.3">
      <c r="A215">
        <v>46</v>
      </c>
      <c r="B215">
        <v>0</v>
      </c>
      <c r="C215">
        <v>2</v>
      </c>
      <c r="D215">
        <v>105</v>
      </c>
      <c r="E215">
        <v>204</v>
      </c>
      <c r="F215">
        <v>0</v>
      </c>
      <c r="G215">
        <v>0</v>
      </c>
      <c r="H215">
        <v>172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</row>
    <row r="216" spans="1:14" x14ac:dyDescent="0.3">
      <c r="A216">
        <v>46</v>
      </c>
      <c r="B216">
        <v>0</v>
      </c>
      <c r="C216">
        <v>4</v>
      </c>
      <c r="D216">
        <v>138</v>
      </c>
      <c r="E216">
        <v>243</v>
      </c>
      <c r="F216">
        <v>0</v>
      </c>
      <c r="G216">
        <v>2</v>
      </c>
      <c r="H216">
        <v>152</v>
      </c>
      <c r="I216">
        <v>1</v>
      </c>
      <c r="J216">
        <v>0</v>
      </c>
      <c r="K216">
        <v>2</v>
      </c>
      <c r="L216">
        <v>0</v>
      </c>
      <c r="M216">
        <v>3</v>
      </c>
      <c r="N216">
        <v>0</v>
      </c>
    </row>
    <row r="217" spans="1:14" x14ac:dyDescent="0.3">
      <c r="A217">
        <v>64</v>
      </c>
      <c r="B217">
        <v>0</v>
      </c>
      <c r="C217">
        <v>4</v>
      </c>
      <c r="D217">
        <v>130</v>
      </c>
      <c r="E217">
        <v>303</v>
      </c>
      <c r="F217">
        <v>0</v>
      </c>
      <c r="G217">
        <v>0</v>
      </c>
      <c r="H217">
        <v>122</v>
      </c>
      <c r="I217">
        <v>0</v>
      </c>
      <c r="J217">
        <v>2</v>
      </c>
      <c r="K217">
        <v>2</v>
      </c>
      <c r="L217">
        <v>2</v>
      </c>
      <c r="M217">
        <v>3</v>
      </c>
      <c r="N217">
        <v>0</v>
      </c>
    </row>
    <row r="218" spans="1:14" x14ac:dyDescent="0.3">
      <c r="A218">
        <v>59</v>
      </c>
      <c r="B218">
        <v>1</v>
      </c>
      <c r="C218">
        <v>4</v>
      </c>
      <c r="D218">
        <v>138</v>
      </c>
      <c r="E218">
        <v>271</v>
      </c>
      <c r="F218">
        <v>0</v>
      </c>
      <c r="G218">
        <v>2</v>
      </c>
      <c r="H218">
        <v>182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41</v>
      </c>
      <c r="B219">
        <v>0</v>
      </c>
      <c r="C219">
        <v>3</v>
      </c>
      <c r="D219">
        <v>112</v>
      </c>
      <c r="E219">
        <v>268</v>
      </c>
      <c r="F219">
        <v>0</v>
      </c>
      <c r="G219">
        <v>2</v>
      </c>
      <c r="H219">
        <v>172</v>
      </c>
      <c r="I219">
        <v>1</v>
      </c>
      <c r="J219">
        <v>0</v>
      </c>
      <c r="K219">
        <v>1</v>
      </c>
      <c r="L219">
        <v>0</v>
      </c>
      <c r="M219">
        <v>3</v>
      </c>
      <c r="N219">
        <v>0</v>
      </c>
    </row>
    <row r="220" spans="1:14" x14ac:dyDescent="0.3">
      <c r="A220">
        <v>54</v>
      </c>
      <c r="B220">
        <v>0</v>
      </c>
      <c r="C220">
        <v>3</v>
      </c>
      <c r="D220">
        <v>108</v>
      </c>
      <c r="E220">
        <v>267</v>
      </c>
      <c r="F220">
        <v>0</v>
      </c>
      <c r="G220">
        <v>2</v>
      </c>
      <c r="H220">
        <v>167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</row>
    <row r="221" spans="1:14" x14ac:dyDescent="0.3">
      <c r="A221">
        <v>39</v>
      </c>
      <c r="B221">
        <v>0</v>
      </c>
      <c r="C221">
        <v>3</v>
      </c>
      <c r="D221">
        <v>94</v>
      </c>
      <c r="E221">
        <v>199</v>
      </c>
      <c r="F221">
        <v>0</v>
      </c>
      <c r="G221">
        <v>0</v>
      </c>
      <c r="H221">
        <v>179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53</v>
      </c>
      <c r="B222">
        <v>1</v>
      </c>
      <c r="C222">
        <v>4</v>
      </c>
      <c r="D222">
        <v>123</v>
      </c>
      <c r="E222">
        <v>282</v>
      </c>
      <c r="F222">
        <v>0</v>
      </c>
      <c r="G222">
        <v>0</v>
      </c>
      <c r="H222">
        <v>95</v>
      </c>
      <c r="I222">
        <v>1</v>
      </c>
      <c r="J222">
        <v>2</v>
      </c>
      <c r="K222">
        <v>2</v>
      </c>
      <c r="L222">
        <v>2</v>
      </c>
      <c r="M222">
        <v>7</v>
      </c>
      <c r="N222">
        <v>1</v>
      </c>
    </row>
    <row r="223" spans="1:14" x14ac:dyDescent="0.3">
      <c r="A223">
        <v>63</v>
      </c>
      <c r="B223">
        <v>0</v>
      </c>
      <c r="C223">
        <v>4</v>
      </c>
      <c r="D223">
        <v>108</v>
      </c>
      <c r="E223">
        <v>269</v>
      </c>
      <c r="F223">
        <v>0</v>
      </c>
      <c r="G223">
        <v>0</v>
      </c>
      <c r="H223">
        <v>169</v>
      </c>
      <c r="I223">
        <v>1</v>
      </c>
      <c r="J223">
        <v>1.8</v>
      </c>
      <c r="K223">
        <v>2</v>
      </c>
      <c r="L223">
        <v>2</v>
      </c>
      <c r="M223">
        <v>3</v>
      </c>
      <c r="N223">
        <v>1</v>
      </c>
    </row>
    <row r="224" spans="1:14" x14ac:dyDescent="0.3">
      <c r="A224">
        <v>34</v>
      </c>
      <c r="B224">
        <v>0</v>
      </c>
      <c r="C224">
        <v>2</v>
      </c>
      <c r="D224">
        <v>118</v>
      </c>
      <c r="E224">
        <v>210</v>
      </c>
      <c r="F224">
        <v>0</v>
      </c>
      <c r="G224">
        <v>0</v>
      </c>
      <c r="H224">
        <v>192</v>
      </c>
      <c r="I224">
        <v>0</v>
      </c>
      <c r="J224">
        <v>0.7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47</v>
      </c>
      <c r="B225">
        <v>1</v>
      </c>
      <c r="C225">
        <v>4</v>
      </c>
      <c r="D225">
        <v>112</v>
      </c>
      <c r="E225">
        <v>204</v>
      </c>
      <c r="F225">
        <v>0</v>
      </c>
      <c r="G225">
        <v>0</v>
      </c>
      <c r="H225">
        <v>143</v>
      </c>
      <c r="I225">
        <v>0</v>
      </c>
      <c r="J225">
        <v>0.1</v>
      </c>
      <c r="K225">
        <v>1</v>
      </c>
      <c r="L225">
        <v>0</v>
      </c>
      <c r="M225">
        <v>3</v>
      </c>
      <c r="N225">
        <v>0</v>
      </c>
    </row>
    <row r="226" spans="1:14" x14ac:dyDescent="0.3">
      <c r="A226">
        <v>67</v>
      </c>
      <c r="B226">
        <v>0</v>
      </c>
      <c r="C226">
        <v>3</v>
      </c>
      <c r="D226">
        <v>152</v>
      </c>
      <c r="E226">
        <v>277</v>
      </c>
      <c r="F226">
        <v>0</v>
      </c>
      <c r="G226">
        <v>0</v>
      </c>
      <c r="H226">
        <v>172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>
        <v>54</v>
      </c>
      <c r="B227">
        <v>1</v>
      </c>
      <c r="C227">
        <v>4</v>
      </c>
      <c r="D227">
        <v>110</v>
      </c>
      <c r="E227">
        <v>206</v>
      </c>
      <c r="F227">
        <v>0</v>
      </c>
      <c r="G227">
        <v>2</v>
      </c>
      <c r="H227">
        <v>108</v>
      </c>
      <c r="I227">
        <v>1</v>
      </c>
      <c r="J227">
        <v>0</v>
      </c>
      <c r="K227">
        <v>2</v>
      </c>
      <c r="L227">
        <v>1</v>
      </c>
      <c r="M227">
        <v>3</v>
      </c>
      <c r="N227">
        <v>1</v>
      </c>
    </row>
    <row r="228" spans="1:14" x14ac:dyDescent="0.3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>
        <v>1</v>
      </c>
      <c r="M228">
        <v>3</v>
      </c>
      <c r="N228">
        <v>1</v>
      </c>
    </row>
    <row r="229" spans="1:14" x14ac:dyDescent="0.3">
      <c r="A229">
        <v>52</v>
      </c>
      <c r="B229">
        <v>0</v>
      </c>
      <c r="C229">
        <v>3</v>
      </c>
      <c r="D229">
        <v>136</v>
      </c>
      <c r="E229">
        <v>196</v>
      </c>
      <c r="F229">
        <v>0</v>
      </c>
      <c r="G229">
        <v>2</v>
      </c>
      <c r="H229">
        <v>169</v>
      </c>
      <c r="I229">
        <v>0</v>
      </c>
      <c r="J229">
        <v>0.1</v>
      </c>
      <c r="K229">
        <v>2</v>
      </c>
      <c r="L229">
        <v>0</v>
      </c>
      <c r="M229">
        <v>3</v>
      </c>
      <c r="N229">
        <v>0</v>
      </c>
    </row>
    <row r="230" spans="1:14" x14ac:dyDescent="0.3">
      <c r="A230">
        <v>55</v>
      </c>
      <c r="B230">
        <v>0</v>
      </c>
      <c r="C230">
        <v>4</v>
      </c>
      <c r="D230">
        <v>180</v>
      </c>
      <c r="E230">
        <v>327</v>
      </c>
      <c r="F230">
        <v>0</v>
      </c>
      <c r="G230">
        <v>1</v>
      </c>
      <c r="H230">
        <v>117</v>
      </c>
      <c r="I230">
        <v>1</v>
      </c>
      <c r="J230">
        <v>3.4</v>
      </c>
      <c r="K230">
        <v>2</v>
      </c>
      <c r="L230">
        <v>0</v>
      </c>
      <c r="M230">
        <v>3</v>
      </c>
      <c r="N230">
        <v>1</v>
      </c>
    </row>
    <row r="231" spans="1:14" x14ac:dyDescent="0.3">
      <c r="A231">
        <v>49</v>
      </c>
      <c r="B231">
        <v>1</v>
      </c>
      <c r="C231">
        <v>3</v>
      </c>
      <c r="D231">
        <v>118</v>
      </c>
      <c r="E231">
        <v>149</v>
      </c>
      <c r="F231">
        <v>0</v>
      </c>
      <c r="G231">
        <v>2</v>
      </c>
      <c r="H231">
        <v>126</v>
      </c>
      <c r="I231">
        <v>0</v>
      </c>
      <c r="J231">
        <v>0.8</v>
      </c>
      <c r="K231">
        <v>1</v>
      </c>
      <c r="L231">
        <v>3</v>
      </c>
      <c r="M231">
        <v>3</v>
      </c>
      <c r="N231">
        <v>1</v>
      </c>
    </row>
    <row r="232" spans="1:14" x14ac:dyDescent="0.3">
      <c r="A232">
        <v>74</v>
      </c>
      <c r="B232">
        <v>0</v>
      </c>
      <c r="C232">
        <v>2</v>
      </c>
      <c r="D232">
        <v>120</v>
      </c>
      <c r="E232">
        <v>269</v>
      </c>
      <c r="F232">
        <v>0</v>
      </c>
      <c r="G232">
        <v>2</v>
      </c>
      <c r="H232">
        <v>121</v>
      </c>
      <c r="I232">
        <v>1</v>
      </c>
      <c r="J232">
        <v>0.2</v>
      </c>
      <c r="K232">
        <v>1</v>
      </c>
      <c r="L232">
        <v>1</v>
      </c>
      <c r="M232">
        <v>3</v>
      </c>
      <c r="N232">
        <v>0</v>
      </c>
    </row>
    <row r="233" spans="1:14" x14ac:dyDescent="0.3">
      <c r="A233">
        <v>54</v>
      </c>
      <c r="B233">
        <v>0</v>
      </c>
      <c r="C233">
        <v>3</v>
      </c>
      <c r="D233">
        <v>160</v>
      </c>
      <c r="E233">
        <v>201</v>
      </c>
      <c r="F233">
        <v>0</v>
      </c>
      <c r="G233">
        <v>0</v>
      </c>
      <c r="H233">
        <v>163</v>
      </c>
      <c r="I233">
        <v>0</v>
      </c>
      <c r="J233">
        <v>0</v>
      </c>
      <c r="K233">
        <v>1</v>
      </c>
      <c r="L233">
        <v>1</v>
      </c>
      <c r="M233">
        <v>3</v>
      </c>
      <c r="N233">
        <v>0</v>
      </c>
    </row>
    <row r="234" spans="1:14" x14ac:dyDescent="0.3">
      <c r="A234">
        <v>54</v>
      </c>
      <c r="B234">
        <v>1</v>
      </c>
      <c r="C234">
        <v>4</v>
      </c>
      <c r="D234">
        <v>122</v>
      </c>
      <c r="E234">
        <v>286</v>
      </c>
      <c r="F234">
        <v>0</v>
      </c>
      <c r="G234">
        <v>2</v>
      </c>
      <c r="H234">
        <v>116</v>
      </c>
      <c r="I234">
        <v>1</v>
      </c>
      <c r="J234">
        <v>3.2</v>
      </c>
      <c r="K234">
        <v>2</v>
      </c>
      <c r="L234">
        <v>2</v>
      </c>
      <c r="M234">
        <v>3</v>
      </c>
      <c r="N234">
        <v>1</v>
      </c>
    </row>
    <row r="235" spans="1:14" x14ac:dyDescent="0.3">
      <c r="A235">
        <v>56</v>
      </c>
      <c r="B235">
        <v>1</v>
      </c>
      <c r="C235">
        <v>4</v>
      </c>
      <c r="D235">
        <v>130</v>
      </c>
      <c r="E235">
        <v>283</v>
      </c>
      <c r="F235">
        <v>1</v>
      </c>
      <c r="G235">
        <v>2</v>
      </c>
      <c r="H235">
        <v>103</v>
      </c>
      <c r="I235">
        <v>1</v>
      </c>
      <c r="J235">
        <v>1.6</v>
      </c>
      <c r="K235">
        <v>3</v>
      </c>
      <c r="L235">
        <v>0</v>
      </c>
      <c r="M235">
        <v>7</v>
      </c>
      <c r="N235">
        <v>1</v>
      </c>
    </row>
    <row r="236" spans="1:14" x14ac:dyDescent="0.3">
      <c r="A236">
        <v>46</v>
      </c>
      <c r="B236">
        <v>1</v>
      </c>
      <c r="C236">
        <v>4</v>
      </c>
      <c r="D236">
        <v>120</v>
      </c>
      <c r="E236">
        <v>249</v>
      </c>
      <c r="F236">
        <v>0</v>
      </c>
      <c r="G236">
        <v>2</v>
      </c>
      <c r="H236">
        <v>144</v>
      </c>
      <c r="I236">
        <v>0</v>
      </c>
      <c r="J236">
        <v>0.8</v>
      </c>
      <c r="K236">
        <v>1</v>
      </c>
      <c r="L236">
        <v>0</v>
      </c>
      <c r="M236">
        <v>7</v>
      </c>
      <c r="N236">
        <v>1</v>
      </c>
    </row>
    <row r="237" spans="1:14" x14ac:dyDescent="0.3">
      <c r="A237">
        <v>49</v>
      </c>
      <c r="B237">
        <v>0</v>
      </c>
      <c r="C237">
        <v>2</v>
      </c>
      <c r="D237">
        <v>134</v>
      </c>
      <c r="E237">
        <v>271</v>
      </c>
      <c r="F237">
        <v>0</v>
      </c>
      <c r="G237">
        <v>0</v>
      </c>
      <c r="H237">
        <v>162</v>
      </c>
      <c r="I237">
        <v>0</v>
      </c>
      <c r="J237">
        <v>0</v>
      </c>
      <c r="K237">
        <v>2</v>
      </c>
      <c r="L237">
        <v>0</v>
      </c>
      <c r="M237">
        <v>3</v>
      </c>
      <c r="N237">
        <v>0</v>
      </c>
    </row>
    <row r="238" spans="1:14" x14ac:dyDescent="0.3">
      <c r="A238">
        <v>42</v>
      </c>
      <c r="B238">
        <v>1</v>
      </c>
      <c r="C238">
        <v>2</v>
      </c>
      <c r="D238">
        <v>120</v>
      </c>
      <c r="E238">
        <v>295</v>
      </c>
      <c r="F238">
        <v>0</v>
      </c>
      <c r="G238">
        <v>0</v>
      </c>
      <c r="H238">
        <v>162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</row>
    <row r="239" spans="1:14" x14ac:dyDescent="0.3">
      <c r="A239">
        <v>41</v>
      </c>
      <c r="B239">
        <v>1</v>
      </c>
      <c r="C239">
        <v>2</v>
      </c>
      <c r="D239">
        <v>110</v>
      </c>
      <c r="E239">
        <v>235</v>
      </c>
      <c r="F239">
        <v>0</v>
      </c>
      <c r="G239">
        <v>0</v>
      </c>
      <c r="H239">
        <v>153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0</v>
      </c>
    </row>
    <row r="240" spans="1:14" x14ac:dyDescent="0.3">
      <c r="A240">
        <v>41</v>
      </c>
      <c r="B240">
        <v>0</v>
      </c>
      <c r="C240">
        <v>2</v>
      </c>
      <c r="D240">
        <v>126</v>
      </c>
      <c r="E240">
        <v>306</v>
      </c>
      <c r="F240">
        <v>0</v>
      </c>
      <c r="G240">
        <v>0</v>
      </c>
      <c r="H240">
        <v>163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</row>
    <row r="241" spans="1:14" x14ac:dyDescent="0.3">
      <c r="A241">
        <v>49</v>
      </c>
      <c r="B241">
        <v>0</v>
      </c>
      <c r="C241">
        <v>4</v>
      </c>
      <c r="D241">
        <v>130</v>
      </c>
      <c r="E241">
        <v>269</v>
      </c>
      <c r="F241">
        <v>0</v>
      </c>
      <c r="G241">
        <v>0</v>
      </c>
      <c r="H241">
        <v>163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61</v>
      </c>
      <c r="B242">
        <v>1</v>
      </c>
      <c r="C242">
        <v>1</v>
      </c>
      <c r="D242">
        <v>134</v>
      </c>
      <c r="E242">
        <v>234</v>
      </c>
      <c r="F242">
        <v>0</v>
      </c>
      <c r="G242">
        <v>0</v>
      </c>
      <c r="H242">
        <v>145</v>
      </c>
      <c r="I242">
        <v>0</v>
      </c>
      <c r="J242">
        <v>2.6</v>
      </c>
      <c r="K242">
        <v>2</v>
      </c>
      <c r="L242">
        <v>2</v>
      </c>
      <c r="M242">
        <v>3</v>
      </c>
      <c r="N242">
        <v>1</v>
      </c>
    </row>
    <row r="243" spans="1:14" x14ac:dyDescent="0.3">
      <c r="A243">
        <v>60</v>
      </c>
      <c r="B243">
        <v>0</v>
      </c>
      <c r="C243">
        <v>3</v>
      </c>
      <c r="D243">
        <v>120</v>
      </c>
      <c r="E243">
        <v>178</v>
      </c>
      <c r="F243">
        <v>1</v>
      </c>
      <c r="G243">
        <v>0</v>
      </c>
      <c r="H243">
        <v>96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67</v>
      </c>
      <c r="B244">
        <v>1</v>
      </c>
      <c r="C244">
        <v>4</v>
      </c>
      <c r="D244">
        <v>120</v>
      </c>
      <c r="E244">
        <v>237</v>
      </c>
      <c r="F244">
        <v>0</v>
      </c>
      <c r="G244">
        <v>0</v>
      </c>
      <c r="H244">
        <v>71</v>
      </c>
      <c r="I244">
        <v>0</v>
      </c>
      <c r="J244">
        <v>1</v>
      </c>
      <c r="K244">
        <v>2</v>
      </c>
      <c r="L244">
        <v>0</v>
      </c>
      <c r="M244">
        <v>3</v>
      </c>
      <c r="N244">
        <v>1</v>
      </c>
    </row>
    <row r="245" spans="1:14" x14ac:dyDescent="0.3">
      <c r="A245">
        <v>58</v>
      </c>
      <c r="B245">
        <v>1</v>
      </c>
      <c r="C245">
        <v>4</v>
      </c>
      <c r="D245">
        <v>100</v>
      </c>
      <c r="E245">
        <v>234</v>
      </c>
      <c r="F245">
        <v>0</v>
      </c>
      <c r="G245">
        <v>0</v>
      </c>
      <c r="H245">
        <v>156</v>
      </c>
      <c r="I245">
        <v>0</v>
      </c>
      <c r="J245">
        <v>0.1</v>
      </c>
      <c r="K245">
        <v>1</v>
      </c>
      <c r="L245">
        <v>1</v>
      </c>
      <c r="M245">
        <v>7</v>
      </c>
      <c r="N245">
        <v>1</v>
      </c>
    </row>
    <row r="246" spans="1:14" x14ac:dyDescent="0.3">
      <c r="A246">
        <v>47</v>
      </c>
      <c r="B246">
        <v>1</v>
      </c>
      <c r="C246">
        <v>4</v>
      </c>
      <c r="D246">
        <v>110</v>
      </c>
      <c r="E246">
        <v>275</v>
      </c>
      <c r="F246">
        <v>0</v>
      </c>
      <c r="G246">
        <v>2</v>
      </c>
      <c r="H246">
        <v>118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1</v>
      </c>
    </row>
    <row r="247" spans="1:14" x14ac:dyDescent="0.3">
      <c r="A247">
        <v>52</v>
      </c>
      <c r="B247">
        <v>1</v>
      </c>
      <c r="C247">
        <v>4</v>
      </c>
      <c r="D247">
        <v>125</v>
      </c>
      <c r="E247">
        <v>212</v>
      </c>
      <c r="F247">
        <v>0</v>
      </c>
      <c r="G247">
        <v>0</v>
      </c>
      <c r="H247">
        <v>168</v>
      </c>
      <c r="I247">
        <v>0</v>
      </c>
      <c r="J247">
        <v>1</v>
      </c>
      <c r="K247">
        <v>1</v>
      </c>
      <c r="L247">
        <v>2</v>
      </c>
      <c r="M247">
        <v>7</v>
      </c>
      <c r="N247">
        <v>1</v>
      </c>
    </row>
    <row r="248" spans="1:14" x14ac:dyDescent="0.3">
      <c r="A248">
        <v>62</v>
      </c>
      <c r="B248">
        <v>1</v>
      </c>
      <c r="C248">
        <v>2</v>
      </c>
      <c r="D248">
        <v>128</v>
      </c>
      <c r="E248">
        <v>208</v>
      </c>
      <c r="F248">
        <v>1</v>
      </c>
      <c r="G248">
        <v>2</v>
      </c>
      <c r="H248">
        <v>140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0</v>
      </c>
    </row>
    <row r="249" spans="1:14" x14ac:dyDescent="0.3">
      <c r="A249">
        <v>57</v>
      </c>
      <c r="B249">
        <v>1</v>
      </c>
      <c r="C249">
        <v>4</v>
      </c>
      <c r="D249">
        <v>110</v>
      </c>
      <c r="E249">
        <v>201</v>
      </c>
      <c r="F249">
        <v>0</v>
      </c>
      <c r="G249">
        <v>0</v>
      </c>
      <c r="H249">
        <v>126</v>
      </c>
      <c r="I249">
        <v>1</v>
      </c>
      <c r="J249">
        <v>1.5</v>
      </c>
      <c r="K249">
        <v>2</v>
      </c>
      <c r="L249">
        <v>0</v>
      </c>
      <c r="M249">
        <v>6</v>
      </c>
      <c r="N249">
        <v>0</v>
      </c>
    </row>
    <row r="250" spans="1:14" x14ac:dyDescent="0.3">
      <c r="A250">
        <v>58</v>
      </c>
      <c r="B250">
        <v>1</v>
      </c>
      <c r="C250">
        <v>4</v>
      </c>
      <c r="D250">
        <v>146</v>
      </c>
      <c r="E250">
        <v>218</v>
      </c>
      <c r="F250">
        <v>0</v>
      </c>
      <c r="G250">
        <v>0</v>
      </c>
      <c r="H250">
        <v>105</v>
      </c>
      <c r="I250">
        <v>0</v>
      </c>
      <c r="J250">
        <v>2</v>
      </c>
      <c r="K250">
        <v>2</v>
      </c>
      <c r="L250">
        <v>1</v>
      </c>
      <c r="M250">
        <v>7</v>
      </c>
      <c r="N250">
        <v>1</v>
      </c>
    </row>
    <row r="251" spans="1:14" x14ac:dyDescent="0.3">
      <c r="A251">
        <v>64</v>
      </c>
      <c r="B251">
        <v>1</v>
      </c>
      <c r="C251">
        <v>4</v>
      </c>
      <c r="D251">
        <v>128</v>
      </c>
      <c r="E251">
        <v>263</v>
      </c>
      <c r="F251">
        <v>0</v>
      </c>
      <c r="G251">
        <v>0</v>
      </c>
      <c r="H251">
        <v>105</v>
      </c>
      <c r="I251">
        <v>1</v>
      </c>
      <c r="J251">
        <v>0.2</v>
      </c>
      <c r="K251">
        <v>2</v>
      </c>
      <c r="L251">
        <v>1</v>
      </c>
      <c r="M251">
        <v>7</v>
      </c>
      <c r="N251">
        <v>0</v>
      </c>
    </row>
    <row r="252" spans="1:14" x14ac:dyDescent="0.3">
      <c r="A252">
        <v>51</v>
      </c>
      <c r="B252">
        <v>0</v>
      </c>
      <c r="C252">
        <v>3</v>
      </c>
      <c r="D252">
        <v>120</v>
      </c>
      <c r="E252">
        <v>295</v>
      </c>
      <c r="F252">
        <v>0</v>
      </c>
      <c r="G252">
        <v>2</v>
      </c>
      <c r="H252">
        <v>157</v>
      </c>
      <c r="I252">
        <v>0</v>
      </c>
      <c r="J252">
        <v>0.6</v>
      </c>
      <c r="K252">
        <v>1</v>
      </c>
      <c r="L252">
        <v>0</v>
      </c>
      <c r="M252">
        <v>3</v>
      </c>
      <c r="N252">
        <v>0</v>
      </c>
    </row>
    <row r="253" spans="1:14" x14ac:dyDescent="0.3">
      <c r="A253">
        <v>43</v>
      </c>
      <c r="B253">
        <v>1</v>
      </c>
      <c r="C253">
        <v>4</v>
      </c>
      <c r="D253">
        <v>115</v>
      </c>
      <c r="E253">
        <v>303</v>
      </c>
      <c r="F253">
        <v>0</v>
      </c>
      <c r="G253">
        <v>0</v>
      </c>
      <c r="H253">
        <v>181</v>
      </c>
      <c r="I253">
        <v>0</v>
      </c>
      <c r="J253">
        <v>1.2</v>
      </c>
      <c r="K253">
        <v>2</v>
      </c>
      <c r="L253">
        <v>0</v>
      </c>
      <c r="M253">
        <v>3</v>
      </c>
      <c r="N253">
        <v>0</v>
      </c>
    </row>
    <row r="254" spans="1:14" x14ac:dyDescent="0.3">
      <c r="A254">
        <v>42</v>
      </c>
      <c r="B254">
        <v>0</v>
      </c>
      <c r="C254">
        <v>3</v>
      </c>
      <c r="D254">
        <v>120</v>
      </c>
      <c r="E254">
        <v>209</v>
      </c>
      <c r="F254">
        <v>0</v>
      </c>
      <c r="G254">
        <v>0</v>
      </c>
      <c r="H254">
        <v>173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</row>
    <row r="255" spans="1:14" x14ac:dyDescent="0.3">
      <c r="A255">
        <v>67</v>
      </c>
      <c r="B255">
        <v>0</v>
      </c>
      <c r="C255">
        <v>4</v>
      </c>
      <c r="D255">
        <v>106</v>
      </c>
      <c r="E255">
        <v>223</v>
      </c>
      <c r="F255">
        <v>0</v>
      </c>
      <c r="G255">
        <v>0</v>
      </c>
      <c r="H255">
        <v>142</v>
      </c>
      <c r="I255">
        <v>0</v>
      </c>
      <c r="J255">
        <v>0.3</v>
      </c>
      <c r="K255">
        <v>1</v>
      </c>
      <c r="L255">
        <v>2</v>
      </c>
      <c r="M255">
        <v>3</v>
      </c>
      <c r="N255">
        <v>0</v>
      </c>
    </row>
    <row r="256" spans="1:14" x14ac:dyDescent="0.3">
      <c r="A256">
        <v>76</v>
      </c>
      <c r="B256">
        <v>0</v>
      </c>
      <c r="C256">
        <v>3</v>
      </c>
      <c r="D256">
        <v>140</v>
      </c>
      <c r="E256">
        <v>197</v>
      </c>
      <c r="F256">
        <v>0</v>
      </c>
      <c r="G256">
        <v>1</v>
      </c>
      <c r="H256">
        <v>116</v>
      </c>
      <c r="I256">
        <v>0</v>
      </c>
      <c r="J256">
        <v>1.1000000000000001</v>
      </c>
      <c r="K256">
        <v>2</v>
      </c>
      <c r="L256">
        <v>0</v>
      </c>
      <c r="M256">
        <v>3</v>
      </c>
      <c r="N256">
        <v>0</v>
      </c>
    </row>
    <row r="257" spans="1:14" x14ac:dyDescent="0.3">
      <c r="A257">
        <v>70</v>
      </c>
      <c r="B257">
        <v>1</v>
      </c>
      <c r="C257">
        <v>2</v>
      </c>
      <c r="D257">
        <v>156</v>
      </c>
      <c r="E257">
        <v>245</v>
      </c>
      <c r="F257">
        <v>0</v>
      </c>
      <c r="G257">
        <v>2</v>
      </c>
      <c r="H257">
        <v>143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</row>
    <row r="258" spans="1:14" x14ac:dyDescent="0.3">
      <c r="A258">
        <v>57</v>
      </c>
      <c r="B258">
        <v>1</v>
      </c>
      <c r="C258">
        <v>2</v>
      </c>
      <c r="D258">
        <v>124</v>
      </c>
      <c r="E258">
        <v>261</v>
      </c>
      <c r="F258">
        <v>0</v>
      </c>
      <c r="G258">
        <v>0</v>
      </c>
      <c r="H258">
        <v>141</v>
      </c>
      <c r="I258">
        <v>0</v>
      </c>
      <c r="J258">
        <v>0.3</v>
      </c>
      <c r="K258">
        <v>1</v>
      </c>
      <c r="L258">
        <v>0</v>
      </c>
      <c r="M258">
        <v>7</v>
      </c>
      <c r="N258">
        <v>1</v>
      </c>
    </row>
    <row r="259" spans="1:14" x14ac:dyDescent="0.3">
      <c r="A259">
        <v>44</v>
      </c>
      <c r="B259">
        <v>0</v>
      </c>
      <c r="C259">
        <v>3</v>
      </c>
      <c r="D259">
        <v>118</v>
      </c>
      <c r="E259">
        <v>242</v>
      </c>
      <c r="F259">
        <v>0</v>
      </c>
      <c r="G259">
        <v>0</v>
      </c>
      <c r="H259">
        <v>149</v>
      </c>
      <c r="I259">
        <v>0</v>
      </c>
      <c r="J259">
        <v>0.3</v>
      </c>
      <c r="K259">
        <v>2</v>
      </c>
      <c r="L259">
        <v>1</v>
      </c>
      <c r="M259">
        <v>3</v>
      </c>
      <c r="N259">
        <v>0</v>
      </c>
    </row>
    <row r="260" spans="1:14" x14ac:dyDescent="0.3">
      <c r="A260">
        <v>58</v>
      </c>
      <c r="B260">
        <v>0</v>
      </c>
      <c r="C260">
        <v>2</v>
      </c>
      <c r="D260">
        <v>136</v>
      </c>
      <c r="E260">
        <v>319</v>
      </c>
      <c r="F260">
        <v>1</v>
      </c>
      <c r="G260">
        <v>2</v>
      </c>
      <c r="H260">
        <v>152</v>
      </c>
      <c r="I260">
        <v>0</v>
      </c>
      <c r="J260">
        <v>0</v>
      </c>
      <c r="K260">
        <v>1</v>
      </c>
      <c r="L260">
        <v>2</v>
      </c>
      <c r="M260">
        <v>3</v>
      </c>
      <c r="N260">
        <v>1</v>
      </c>
    </row>
    <row r="261" spans="1:14" x14ac:dyDescent="0.3">
      <c r="A261">
        <v>60</v>
      </c>
      <c r="B261">
        <v>0</v>
      </c>
      <c r="C261">
        <v>1</v>
      </c>
      <c r="D261">
        <v>150</v>
      </c>
      <c r="E261">
        <v>240</v>
      </c>
      <c r="F261">
        <v>0</v>
      </c>
      <c r="G261">
        <v>0</v>
      </c>
      <c r="H261">
        <v>171</v>
      </c>
      <c r="I261">
        <v>0</v>
      </c>
      <c r="J261">
        <v>0.9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44</v>
      </c>
      <c r="B262">
        <v>1</v>
      </c>
      <c r="C262">
        <v>3</v>
      </c>
      <c r="D262">
        <v>120</v>
      </c>
      <c r="E262">
        <v>226</v>
      </c>
      <c r="F262">
        <v>0</v>
      </c>
      <c r="G262">
        <v>0</v>
      </c>
      <c r="H262">
        <v>169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</row>
    <row r="263" spans="1:14" x14ac:dyDescent="0.3">
      <c r="A263">
        <v>61</v>
      </c>
      <c r="B263">
        <v>1</v>
      </c>
      <c r="C263">
        <v>4</v>
      </c>
      <c r="D263">
        <v>138</v>
      </c>
      <c r="E263">
        <v>166</v>
      </c>
      <c r="F263">
        <v>0</v>
      </c>
      <c r="G263">
        <v>2</v>
      </c>
      <c r="H263">
        <v>125</v>
      </c>
      <c r="I263">
        <v>1</v>
      </c>
      <c r="J263">
        <v>3.6</v>
      </c>
      <c r="K263">
        <v>2</v>
      </c>
      <c r="L263">
        <v>1</v>
      </c>
      <c r="M263">
        <v>3</v>
      </c>
      <c r="N263">
        <v>1</v>
      </c>
    </row>
    <row r="264" spans="1:14" x14ac:dyDescent="0.3">
      <c r="A264">
        <v>42</v>
      </c>
      <c r="B264">
        <v>1</v>
      </c>
      <c r="C264">
        <v>4</v>
      </c>
      <c r="D264">
        <v>136</v>
      </c>
      <c r="E264">
        <v>315</v>
      </c>
      <c r="F264">
        <v>0</v>
      </c>
      <c r="G264">
        <v>0</v>
      </c>
      <c r="H264">
        <v>125</v>
      </c>
      <c r="I264">
        <v>1</v>
      </c>
      <c r="J264">
        <v>1.8</v>
      </c>
      <c r="K264">
        <v>2</v>
      </c>
      <c r="L264">
        <v>0</v>
      </c>
      <c r="M264">
        <v>6</v>
      </c>
      <c r="N264">
        <v>1</v>
      </c>
    </row>
    <row r="265" spans="1:14" x14ac:dyDescent="0.3">
      <c r="A265">
        <v>59</v>
      </c>
      <c r="B265">
        <v>1</v>
      </c>
      <c r="C265">
        <v>3</v>
      </c>
      <c r="D265">
        <v>126</v>
      </c>
      <c r="E265">
        <v>218</v>
      </c>
      <c r="F265">
        <v>1</v>
      </c>
      <c r="G265">
        <v>0</v>
      </c>
      <c r="H265">
        <v>134</v>
      </c>
      <c r="I265">
        <v>0</v>
      </c>
      <c r="J265">
        <v>2.2000000000000002</v>
      </c>
      <c r="K265">
        <v>2</v>
      </c>
      <c r="L265">
        <v>1</v>
      </c>
      <c r="M265">
        <v>6</v>
      </c>
      <c r="N265">
        <v>1</v>
      </c>
    </row>
    <row r="266" spans="1:14" x14ac:dyDescent="0.3">
      <c r="A266">
        <v>40</v>
      </c>
      <c r="B266">
        <v>1</v>
      </c>
      <c r="C266">
        <v>4</v>
      </c>
      <c r="D266">
        <v>152</v>
      </c>
      <c r="E266">
        <v>223</v>
      </c>
      <c r="F266">
        <v>0</v>
      </c>
      <c r="G266">
        <v>0</v>
      </c>
      <c r="H266">
        <v>181</v>
      </c>
      <c r="I266">
        <v>0</v>
      </c>
      <c r="J266">
        <v>0</v>
      </c>
      <c r="K266">
        <v>1</v>
      </c>
      <c r="L266">
        <v>0</v>
      </c>
      <c r="M266">
        <v>7</v>
      </c>
      <c r="N266">
        <v>1</v>
      </c>
    </row>
    <row r="267" spans="1:14" x14ac:dyDescent="0.3">
      <c r="A267">
        <v>42</v>
      </c>
      <c r="B267">
        <v>1</v>
      </c>
      <c r="C267">
        <v>3</v>
      </c>
      <c r="D267">
        <v>130</v>
      </c>
      <c r="E267">
        <v>180</v>
      </c>
      <c r="F267">
        <v>0</v>
      </c>
      <c r="G267">
        <v>0</v>
      </c>
      <c r="H267">
        <v>150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</row>
    <row r="268" spans="1:14" x14ac:dyDescent="0.3">
      <c r="A268">
        <v>61</v>
      </c>
      <c r="B268">
        <v>1</v>
      </c>
      <c r="C268">
        <v>4</v>
      </c>
      <c r="D268">
        <v>140</v>
      </c>
      <c r="E268">
        <v>207</v>
      </c>
      <c r="F268">
        <v>0</v>
      </c>
      <c r="G268">
        <v>2</v>
      </c>
      <c r="H268">
        <v>138</v>
      </c>
      <c r="I268">
        <v>1</v>
      </c>
      <c r="J268">
        <v>1.9</v>
      </c>
      <c r="K268">
        <v>1</v>
      </c>
      <c r="L268">
        <v>1</v>
      </c>
      <c r="M268">
        <v>7</v>
      </c>
      <c r="N268">
        <v>1</v>
      </c>
    </row>
    <row r="269" spans="1:14" x14ac:dyDescent="0.3">
      <c r="A269">
        <v>66</v>
      </c>
      <c r="B269">
        <v>1</v>
      </c>
      <c r="C269">
        <v>4</v>
      </c>
      <c r="D269">
        <v>160</v>
      </c>
      <c r="E269">
        <v>228</v>
      </c>
      <c r="F269">
        <v>0</v>
      </c>
      <c r="G269">
        <v>2</v>
      </c>
      <c r="H269">
        <v>138</v>
      </c>
      <c r="I269">
        <v>0</v>
      </c>
      <c r="J269">
        <v>2.2999999999999998</v>
      </c>
      <c r="K269">
        <v>1</v>
      </c>
      <c r="L269">
        <v>0</v>
      </c>
      <c r="M269">
        <v>6</v>
      </c>
      <c r="N269">
        <v>0</v>
      </c>
    </row>
    <row r="270" spans="1:14" x14ac:dyDescent="0.3">
      <c r="A270">
        <v>46</v>
      </c>
      <c r="B270">
        <v>1</v>
      </c>
      <c r="C270">
        <v>4</v>
      </c>
      <c r="D270">
        <v>140</v>
      </c>
      <c r="E270">
        <v>311</v>
      </c>
      <c r="F270">
        <v>0</v>
      </c>
      <c r="G270">
        <v>0</v>
      </c>
      <c r="H270">
        <v>120</v>
      </c>
      <c r="I270">
        <v>1</v>
      </c>
      <c r="J270">
        <v>1.8</v>
      </c>
      <c r="K270">
        <v>2</v>
      </c>
      <c r="L270">
        <v>2</v>
      </c>
      <c r="M270">
        <v>7</v>
      </c>
      <c r="N270">
        <v>1</v>
      </c>
    </row>
    <row r="271" spans="1:14" x14ac:dyDescent="0.3">
      <c r="A271">
        <v>71</v>
      </c>
      <c r="B271">
        <v>0</v>
      </c>
      <c r="C271">
        <v>4</v>
      </c>
      <c r="D271">
        <v>112</v>
      </c>
      <c r="E271">
        <v>149</v>
      </c>
      <c r="F271">
        <v>0</v>
      </c>
      <c r="G271">
        <v>0</v>
      </c>
      <c r="H271">
        <v>125</v>
      </c>
      <c r="I271">
        <v>0</v>
      </c>
      <c r="J271">
        <v>1.6</v>
      </c>
      <c r="K271">
        <v>2</v>
      </c>
      <c r="L271">
        <v>0</v>
      </c>
      <c r="M271">
        <v>3</v>
      </c>
      <c r="N271">
        <v>0</v>
      </c>
    </row>
    <row r="272" spans="1:14" x14ac:dyDescent="0.3">
      <c r="A272">
        <v>59</v>
      </c>
      <c r="B272">
        <v>1</v>
      </c>
      <c r="C272">
        <v>1</v>
      </c>
      <c r="D272">
        <v>134</v>
      </c>
      <c r="E272">
        <v>204</v>
      </c>
      <c r="F272">
        <v>0</v>
      </c>
      <c r="G272">
        <v>0</v>
      </c>
      <c r="H272">
        <v>162</v>
      </c>
      <c r="I272">
        <v>0</v>
      </c>
      <c r="J272">
        <v>0.8</v>
      </c>
      <c r="K272">
        <v>1</v>
      </c>
      <c r="L272">
        <v>2</v>
      </c>
      <c r="M272">
        <v>3</v>
      </c>
      <c r="N272">
        <v>1</v>
      </c>
    </row>
    <row r="273" spans="1:14" x14ac:dyDescent="0.3">
      <c r="A273">
        <v>64</v>
      </c>
      <c r="B273">
        <v>1</v>
      </c>
      <c r="C273">
        <v>1</v>
      </c>
      <c r="D273">
        <v>170</v>
      </c>
      <c r="E273">
        <v>227</v>
      </c>
      <c r="F273">
        <v>0</v>
      </c>
      <c r="G273">
        <v>2</v>
      </c>
      <c r="H273">
        <v>155</v>
      </c>
      <c r="I273">
        <v>0</v>
      </c>
      <c r="J273">
        <v>0.6</v>
      </c>
      <c r="K273">
        <v>2</v>
      </c>
      <c r="L273">
        <v>0</v>
      </c>
      <c r="M273">
        <v>7</v>
      </c>
      <c r="N273">
        <v>0</v>
      </c>
    </row>
    <row r="274" spans="1:14" x14ac:dyDescent="0.3">
      <c r="A274">
        <v>66</v>
      </c>
      <c r="B274">
        <v>0</v>
      </c>
      <c r="C274">
        <v>3</v>
      </c>
      <c r="D274">
        <v>146</v>
      </c>
      <c r="E274">
        <v>278</v>
      </c>
      <c r="F274">
        <v>0</v>
      </c>
      <c r="G274">
        <v>2</v>
      </c>
      <c r="H274">
        <v>152</v>
      </c>
      <c r="I274">
        <v>0</v>
      </c>
      <c r="J274">
        <v>0</v>
      </c>
      <c r="K274">
        <v>2</v>
      </c>
      <c r="L274">
        <v>1</v>
      </c>
      <c r="M274">
        <v>3</v>
      </c>
      <c r="N274">
        <v>0</v>
      </c>
    </row>
    <row r="275" spans="1:14" x14ac:dyDescent="0.3">
      <c r="A275">
        <v>39</v>
      </c>
      <c r="B275">
        <v>0</v>
      </c>
      <c r="C275">
        <v>3</v>
      </c>
      <c r="D275">
        <v>138</v>
      </c>
      <c r="E275">
        <v>220</v>
      </c>
      <c r="F275">
        <v>0</v>
      </c>
      <c r="G275">
        <v>0</v>
      </c>
      <c r="H275">
        <v>152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0</v>
      </c>
    </row>
    <row r="276" spans="1:14" x14ac:dyDescent="0.3">
      <c r="A276">
        <v>57</v>
      </c>
      <c r="B276">
        <v>1</v>
      </c>
      <c r="C276">
        <v>2</v>
      </c>
      <c r="D276">
        <v>154</v>
      </c>
      <c r="E276">
        <v>232</v>
      </c>
      <c r="F276">
        <v>0</v>
      </c>
      <c r="G276">
        <v>2</v>
      </c>
      <c r="H276">
        <v>164</v>
      </c>
      <c r="I276">
        <v>0</v>
      </c>
      <c r="J276">
        <v>0</v>
      </c>
      <c r="K276">
        <v>1</v>
      </c>
      <c r="L276">
        <v>1</v>
      </c>
      <c r="M276">
        <v>3</v>
      </c>
      <c r="N276">
        <v>1</v>
      </c>
    </row>
    <row r="277" spans="1:14" x14ac:dyDescent="0.3">
      <c r="A277">
        <v>58</v>
      </c>
      <c r="B277">
        <v>0</v>
      </c>
      <c r="C277">
        <v>4</v>
      </c>
      <c r="D277">
        <v>130</v>
      </c>
      <c r="E277">
        <v>197</v>
      </c>
      <c r="F277">
        <v>0</v>
      </c>
      <c r="G277">
        <v>0</v>
      </c>
      <c r="H277">
        <v>131</v>
      </c>
      <c r="I277">
        <v>0</v>
      </c>
      <c r="J277">
        <v>0.6</v>
      </c>
      <c r="K277">
        <v>2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4</v>
      </c>
      <c r="D278">
        <v>110</v>
      </c>
      <c r="E278">
        <v>335</v>
      </c>
      <c r="F278">
        <v>0</v>
      </c>
      <c r="G278">
        <v>0</v>
      </c>
      <c r="H278">
        <v>143</v>
      </c>
      <c r="I278">
        <v>1</v>
      </c>
      <c r="J278">
        <v>3</v>
      </c>
      <c r="K278">
        <v>2</v>
      </c>
      <c r="L278">
        <v>1</v>
      </c>
      <c r="M278">
        <v>7</v>
      </c>
      <c r="N278">
        <v>1</v>
      </c>
    </row>
    <row r="279" spans="1:14" x14ac:dyDescent="0.3">
      <c r="A279">
        <v>47</v>
      </c>
      <c r="B279">
        <v>1</v>
      </c>
      <c r="C279">
        <v>3</v>
      </c>
      <c r="D279">
        <v>130</v>
      </c>
      <c r="E279">
        <v>253</v>
      </c>
      <c r="F279">
        <v>0</v>
      </c>
      <c r="G279">
        <v>0</v>
      </c>
      <c r="H279">
        <v>179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</row>
    <row r="280" spans="1:14" x14ac:dyDescent="0.3">
      <c r="A280">
        <v>55</v>
      </c>
      <c r="B280">
        <v>0</v>
      </c>
      <c r="C280">
        <v>4</v>
      </c>
      <c r="D280">
        <v>128</v>
      </c>
      <c r="E280">
        <v>205</v>
      </c>
      <c r="F280">
        <v>0</v>
      </c>
      <c r="G280">
        <v>1</v>
      </c>
      <c r="H280">
        <v>130</v>
      </c>
      <c r="I280">
        <v>1</v>
      </c>
      <c r="J280">
        <v>2</v>
      </c>
      <c r="K280">
        <v>2</v>
      </c>
      <c r="L280">
        <v>1</v>
      </c>
      <c r="M280">
        <v>7</v>
      </c>
      <c r="N280">
        <v>1</v>
      </c>
    </row>
    <row r="281" spans="1:14" x14ac:dyDescent="0.3">
      <c r="A281">
        <v>35</v>
      </c>
      <c r="B281">
        <v>1</v>
      </c>
      <c r="C281">
        <v>2</v>
      </c>
      <c r="D281">
        <v>122</v>
      </c>
      <c r="E281">
        <v>192</v>
      </c>
      <c r="F281">
        <v>0</v>
      </c>
      <c r="G281">
        <v>0</v>
      </c>
      <c r="H281">
        <v>174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0</v>
      </c>
    </row>
    <row r="282" spans="1:14" x14ac:dyDescent="0.3">
      <c r="A282">
        <v>61</v>
      </c>
      <c r="B282">
        <v>1</v>
      </c>
      <c r="C282">
        <v>4</v>
      </c>
      <c r="D282">
        <v>148</v>
      </c>
      <c r="E282">
        <v>203</v>
      </c>
      <c r="F282">
        <v>0</v>
      </c>
      <c r="G282">
        <v>0</v>
      </c>
      <c r="H282">
        <v>161</v>
      </c>
      <c r="I282">
        <v>0</v>
      </c>
      <c r="J282">
        <v>0</v>
      </c>
      <c r="K282">
        <v>1</v>
      </c>
      <c r="L282">
        <v>1</v>
      </c>
      <c r="M282">
        <v>7</v>
      </c>
      <c r="N282">
        <v>1</v>
      </c>
    </row>
    <row r="283" spans="1:14" x14ac:dyDescent="0.3">
      <c r="A283">
        <v>58</v>
      </c>
      <c r="B283">
        <v>1</v>
      </c>
      <c r="C283">
        <v>4</v>
      </c>
      <c r="D283">
        <v>114</v>
      </c>
      <c r="E283">
        <v>318</v>
      </c>
      <c r="F283">
        <v>0</v>
      </c>
      <c r="G283">
        <v>1</v>
      </c>
      <c r="H283">
        <v>140</v>
      </c>
      <c r="I283">
        <v>0</v>
      </c>
      <c r="J283">
        <v>4.4000000000000004</v>
      </c>
      <c r="K283">
        <v>3</v>
      </c>
      <c r="L283">
        <v>3</v>
      </c>
      <c r="M283">
        <v>6</v>
      </c>
      <c r="N283">
        <v>1</v>
      </c>
    </row>
    <row r="284" spans="1:14" x14ac:dyDescent="0.3">
      <c r="A284">
        <v>58</v>
      </c>
      <c r="B284">
        <v>0</v>
      </c>
      <c r="C284">
        <v>4</v>
      </c>
      <c r="D284">
        <v>170</v>
      </c>
      <c r="E284">
        <v>225</v>
      </c>
      <c r="F284">
        <v>1</v>
      </c>
      <c r="G284">
        <v>2</v>
      </c>
      <c r="H284">
        <v>146</v>
      </c>
      <c r="I284">
        <v>1</v>
      </c>
      <c r="J284">
        <v>2.8</v>
      </c>
      <c r="K284">
        <v>2</v>
      </c>
      <c r="L284">
        <v>2</v>
      </c>
      <c r="M284">
        <v>6</v>
      </c>
      <c r="N284">
        <v>1</v>
      </c>
    </row>
    <row r="285" spans="1:14" x14ac:dyDescent="0.3">
      <c r="A285">
        <v>56</v>
      </c>
      <c r="B285">
        <v>1</v>
      </c>
      <c r="C285">
        <v>2</v>
      </c>
      <c r="D285">
        <v>130</v>
      </c>
      <c r="E285">
        <v>221</v>
      </c>
      <c r="F285">
        <v>0</v>
      </c>
      <c r="G285">
        <v>2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7</v>
      </c>
      <c r="N285">
        <v>0</v>
      </c>
    </row>
    <row r="286" spans="1:14" x14ac:dyDescent="0.3">
      <c r="A286">
        <v>56</v>
      </c>
      <c r="B286">
        <v>1</v>
      </c>
      <c r="C286">
        <v>2</v>
      </c>
      <c r="D286">
        <v>120</v>
      </c>
      <c r="E286">
        <v>240</v>
      </c>
      <c r="F286">
        <v>0</v>
      </c>
      <c r="G286">
        <v>0</v>
      </c>
      <c r="H286">
        <v>169</v>
      </c>
      <c r="I286">
        <v>0</v>
      </c>
      <c r="J286">
        <v>0</v>
      </c>
      <c r="K286">
        <v>3</v>
      </c>
      <c r="L286">
        <v>0</v>
      </c>
      <c r="M286">
        <v>3</v>
      </c>
      <c r="N286">
        <v>0</v>
      </c>
    </row>
    <row r="287" spans="1:14" x14ac:dyDescent="0.3">
      <c r="A287">
        <v>67</v>
      </c>
      <c r="B287">
        <v>1</v>
      </c>
      <c r="C287">
        <v>3</v>
      </c>
      <c r="D287">
        <v>152</v>
      </c>
      <c r="E287">
        <v>212</v>
      </c>
      <c r="F287">
        <v>0</v>
      </c>
      <c r="G287">
        <v>2</v>
      </c>
      <c r="H287">
        <v>150</v>
      </c>
      <c r="I287">
        <v>0</v>
      </c>
      <c r="J287">
        <v>0.8</v>
      </c>
      <c r="K287">
        <v>2</v>
      </c>
      <c r="L287">
        <v>0</v>
      </c>
      <c r="M287">
        <v>7</v>
      </c>
      <c r="N287">
        <v>1</v>
      </c>
    </row>
    <row r="288" spans="1:14" x14ac:dyDescent="0.3">
      <c r="A288">
        <v>55</v>
      </c>
      <c r="B288">
        <v>0</v>
      </c>
      <c r="C288">
        <v>2</v>
      </c>
      <c r="D288">
        <v>132</v>
      </c>
      <c r="E288">
        <v>342</v>
      </c>
      <c r="F288">
        <v>0</v>
      </c>
      <c r="G288">
        <v>0</v>
      </c>
      <c r="H288">
        <v>166</v>
      </c>
      <c r="I288">
        <v>0</v>
      </c>
      <c r="J288">
        <v>1.2</v>
      </c>
      <c r="K288">
        <v>1</v>
      </c>
      <c r="L288">
        <v>0</v>
      </c>
      <c r="M288">
        <v>3</v>
      </c>
      <c r="N288">
        <v>0</v>
      </c>
    </row>
    <row r="289" spans="1:14" x14ac:dyDescent="0.3">
      <c r="A289">
        <v>44</v>
      </c>
      <c r="B289">
        <v>1</v>
      </c>
      <c r="C289">
        <v>4</v>
      </c>
      <c r="D289">
        <v>120</v>
      </c>
      <c r="E289">
        <v>169</v>
      </c>
      <c r="F289">
        <v>0</v>
      </c>
      <c r="G289">
        <v>0</v>
      </c>
      <c r="H289">
        <v>144</v>
      </c>
      <c r="I289">
        <v>1</v>
      </c>
      <c r="J289">
        <v>2.8</v>
      </c>
      <c r="K289">
        <v>3</v>
      </c>
      <c r="L289">
        <v>0</v>
      </c>
      <c r="M289">
        <v>6</v>
      </c>
      <c r="N289">
        <v>1</v>
      </c>
    </row>
    <row r="290" spans="1:14" x14ac:dyDescent="0.3">
      <c r="A290">
        <v>63</v>
      </c>
      <c r="B290">
        <v>1</v>
      </c>
      <c r="C290">
        <v>4</v>
      </c>
      <c r="D290">
        <v>140</v>
      </c>
      <c r="E290">
        <v>187</v>
      </c>
      <c r="F290">
        <v>0</v>
      </c>
      <c r="G290">
        <v>2</v>
      </c>
      <c r="H290">
        <v>144</v>
      </c>
      <c r="I290">
        <v>1</v>
      </c>
      <c r="J290">
        <v>4</v>
      </c>
      <c r="K290">
        <v>1</v>
      </c>
      <c r="L290">
        <v>2</v>
      </c>
      <c r="M290">
        <v>7</v>
      </c>
      <c r="N290">
        <v>1</v>
      </c>
    </row>
    <row r="291" spans="1:14" x14ac:dyDescent="0.3">
      <c r="A291">
        <v>63</v>
      </c>
      <c r="B291">
        <v>0</v>
      </c>
      <c r="C291">
        <v>4</v>
      </c>
      <c r="D291">
        <v>124</v>
      </c>
      <c r="E291">
        <v>197</v>
      </c>
      <c r="F291">
        <v>0</v>
      </c>
      <c r="G291">
        <v>0</v>
      </c>
      <c r="H291">
        <v>136</v>
      </c>
      <c r="I291">
        <v>1</v>
      </c>
      <c r="J291">
        <v>0</v>
      </c>
      <c r="K291">
        <v>2</v>
      </c>
      <c r="L291">
        <v>0</v>
      </c>
      <c r="M291">
        <v>3</v>
      </c>
      <c r="N291">
        <v>1</v>
      </c>
    </row>
    <row r="292" spans="1:14" x14ac:dyDescent="0.3">
      <c r="A292">
        <v>41</v>
      </c>
      <c r="B292">
        <v>1</v>
      </c>
      <c r="C292">
        <v>2</v>
      </c>
      <c r="D292">
        <v>120</v>
      </c>
      <c r="E292">
        <v>157</v>
      </c>
      <c r="F292">
        <v>0</v>
      </c>
      <c r="G292">
        <v>0</v>
      </c>
      <c r="H292">
        <v>182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0</v>
      </c>
    </row>
    <row r="293" spans="1:14" x14ac:dyDescent="0.3">
      <c r="A293">
        <v>59</v>
      </c>
      <c r="B293">
        <v>1</v>
      </c>
      <c r="C293">
        <v>4</v>
      </c>
      <c r="D293">
        <v>164</v>
      </c>
      <c r="E293">
        <v>176</v>
      </c>
      <c r="F293">
        <v>1</v>
      </c>
      <c r="G293">
        <v>2</v>
      </c>
      <c r="H293">
        <v>90</v>
      </c>
      <c r="I293">
        <v>0</v>
      </c>
      <c r="J293">
        <v>1</v>
      </c>
      <c r="K293">
        <v>2</v>
      </c>
      <c r="L293">
        <v>2</v>
      </c>
      <c r="M293">
        <v>6</v>
      </c>
      <c r="N293">
        <v>1</v>
      </c>
    </row>
    <row r="294" spans="1:14" x14ac:dyDescent="0.3">
      <c r="A294">
        <v>57</v>
      </c>
      <c r="B294">
        <v>0</v>
      </c>
      <c r="C294">
        <v>4</v>
      </c>
      <c r="D294">
        <v>140</v>
      </c>
      <c r="E294">
        <v>241</v>
      </c>
      <c r="F294">
        <v>0</v>
      </c>
      <c r="G294">
        <v>0</v>
      </c>
      <c r="H294">
        <v>123</v>
      </c>
      <c r="I294">
        <v>1</v>
      </c>
      <c r="J294">
        <v>0.2</v>
      </c>
      <c r="K294">
        <v>2</v>
      </c>
      <c r="L294">
        <v>0</v>
      </c>
      <c r="M294">
        <v>7</v>
      </c>
      <c r="N294">
        <v>1</v>
      </c>
    </row>
    <row r="295" spans="1:14" x14ac:dyDescent="0.3">
      <c r="A295">
        <v>45</v>
      </c>
      <c r="B295">
        <v>1</v>
      </c>
      <c r="C295">
        <v>1</v>
      </c>
      <c r="D295">
        <v>110</v>
      </c>
      <c r="E295">
        <v>264</v>
      </c>
      <c r="F295">
        <v>0</v>
      </c>
      <c r="G295">
        <v>0</v>
      </c>
      <c r="H295">
        <v>132</v>
      </c>
      <c r="I295">
        <v>0</v>
      </c>
      <c r="J295">
        <v>1.2</v>
      </c>
      <c r="K295">
        <v>2</v>
      </c>
      <c r="L295">
        <v>0</v>
      </c>
      <c r="M295">
        <v>7</v>
      </c>
      <c r="N295">
        <v>1</v>
      </c>
    </row>
    <row r="296" spans="1:14" x14ac:dyDescent="0.3">
      <c r="A296">
        <v>68</v>
      </c>
      <c r="B296">
        <v>1</v>
      </c>
      <c r="C296">
        <v>4</v>
      </c>
      <c r="D296">
        <v>144</v>
      </c>
      <c r="E296">
        <v>193</v>
      </c>
      <c r="F296">
        <v>1</v>
      </c>
      <c r="G296">
        <v>0</v>
      </c>
      <c r="H296">
        <v>141</v>
      </c>
      <c r="I296">
        <v>0</v>
      </c>
      <c r="J296">
        <v>3.4</v>
      </c>
      <c r="K296">
        <v>2</v>
      </c>
      <c r="L296">
        <v>2</v>
      </c>
      <c r="M296">
        <v>7</v>
      </c>
      <c r="N296">
        <v>1</v>
      </c>
    </row>
    <row r="297" spans="1:14" x14ac:dyDescent="0.3">
      <c r="A297">
        <v>57</v>
      </c>
      <c r="B297">
        <v>1</v>
      </c>
      <c r="C297">
        <v>4</v>
      </c>
      <c r="D297">
        <v>130</v>
      </c>
      <c r="E297">
        <v>131</v>
      </c>
      <c r="F297">
        <v>0</v>
      </c>
      <c r="G297">
        <v>0</v>
      </c>
      <c r="H297">
        <v>115</v>
      </c>
      <c r="I297">
        <v>1</v>
      </c>
      <c r="J297">
        <v>1.2</v>
      </c>
      <c r="K297">
        <v>2</v>
      </c>
      <c r="L297">
        <v>1</v>
      </c>
      <c r="M297">
        <v>7</v>
      </c>
      <c r="N297">
        <v>1</v>
      </c>
    </row>
    <row r="298" spans="1:14" x14ac:dyDescent="0.3">
      <c r="A298">
        <v>57</v>
      </c>
      <c r="B298">
        <v>0</v>
      </c>
      <c r="C298">
        <v>2</v>
      </c>
      <c r="D298">
        <v>130</v>
      </c>
      <c r="E298">
        <v>236</v>
      </c>
      <c r="F298">
        <v>0</v>
      </c>
      <c r="G298">
        <v>2</v>
      </c>
      <c r="H298">
        <v>174</v>
      </c>
      <c r="I298">
        <v>0</v>
      </c>
      <c r="J298">
        <v>0</v>
      </c>
      <c r="K298">
        <v>2</v>
      </c>
      <c r="L298">
        <v>1</v>
      </c>
      <c r="M298">
        <v>3</v>
      </c>
      <c r="N298">
        <v>1</v>
      </c>
    </row>
    <row r="300" spans="1:14" x14ac:dyDescent="0.3">
      <c r="A300" s="2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3">
      <c r="A301">
        <v>36</v>
      </c>
      <c r="B301">
        <v>0</v>
      </c>
      <c r="C301">
        <v>4</v>
      </c>
      <c r="D301">
        <v>118</v>
      </c>
      <c r="E301">
        <v>150</v>
      </c>
      <c r="F301">
        <v>1</v>
      </c>
      <c r="G301">
        <v>0</v>
      </c>
      <c r="H301">
        <v>112</v>
      </c>
      <c r="I301">
        <v>0</v>
      </c>
      <c r="J301">
        <v>0.5</v>
      </c>
      <c r="K301">
        <v>2</v>
      </c>
      <c r="L301">
        <v>0</v>
      </c>
      <c r="M301">
        <v>3</v>
      </c>
      <c r="N301" s="1" t="s">
        <v>15</v>
      </c>
    </row>
    <row r="302" spans="1:14" x14ac:dyDescent="0.3">
      <c r="A302">
        <v>67</v>
      </c>
      <c r="B302">
        <v>1</v>
      </c>
      <c r="C302">
        <v>3</v>
      </c>
      <c r="D302">
        <v>144</v>
      </c>
      <c r="E302">
        <v>232</v>
      </c>
      <c r="F302">
        <v>0</v>
      </c>
      <c r="G302">
        <v>2</v>
      </c>
      <c r="H302">
        <v>174</v>
      </c>
      <c r="I302">
        <v>1</v>
      </c>
      <c r="J302">
        <v>0</v>
      </c>
      <c r="K302">
        <v>1</v>
      </c>
      <c r="L302">
        <v>0</v>
      </c>
      <c r="M302">
        <v>3</v>
      </c>
      <c r="N302" s="1" t="s">
        <v>15</v>
      </c>
    </row>
  </sheetData>
  <mergeCells count="1">
    <mergeCell ref="A300:N3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B24E-EA93-4552-8D3A-2CD255C1065B}">
  <dimension ref="A1:U306"/>
  <sheetViews>
    <sheetView tabSelected="1" topLeftCell="B1" workbookViewId="0">
      <selection activeCell="P19" sqref="P19"/>
    </sheetView>
  </sheetViews>
  <sheetFormatPr defaultRowHeight="14.4" x14ac:dyDescent="0.3"/>
  <cols>
    <col min="16" max="16" width="16.33203125" customWidth="1"/>
    <col min="20" max="20" width="11.6640625" customWidth="1"/>
    <col min="21" max="21" width="12.88671875" customWidth="1"/>
  </cols>
  <sheetData>
    <row r="1" spans="1:21" ht="13.8" customHeight="1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R1" t="s">
        <v>34</v>
      </c>
      <c r="S1">
        <f>SUM(S6:S302)</f>
        <v>137</v>
      </c>
      <c r="T1" t="s">
        <v>37</v>
      </c>
      <c r="U1">
        <f>SUM(U6:U302)</f>
        <v>-184.16209805089429</v>
      </c>
    </row>
    <row r="2" spans="1:21" ht="13.8" customHeight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21" x14ac:dyDescent="0.3">
      <c r="A3" cm="1">
        <f t="array" ref="A3">INDEX(LINEST($N$6:$N$302,$A$6:$M$302),1,A1)</f>
        <v>-1.2282046886227082E-3</v>
      </c>
      <c r="B3" cm="1">
        <f t="array" ref="B3">INDEX(LINEST($N$6:$N$302,$A$6:$M$302),1,B1)</f>
        <v>0.14569183178559117</v>
      </c>
      <c r="C3" cm="1">
        <f t="array" ref="C3">INDEX(LINEST($N$6:$N$302,$A$6:$M$302),1,C1)</f>
        <v>8.2763232670012954E-2</v>
      </c>
      <c r="D3" cm="1">
        <f t="array" ref="D3">INDEX(LINEST($N$6:$N$302,$A$6:$M$302),1,D1)</f>
        <v>2.1361741326654002E-3</v>
      </c>
      <c r="E3" cm="1">
        <f t="array" ref="E3">INDEX(LINEST($N$6:$N$302,$A$6:$M$302),1,E1)</f>
        <v>3.5489886662413598E-4</v>
      </c>
      <c r="F3" cm="1">
        <f t="array" ref="F3">INDEX(LINEST($N$6:$N$302,$A$6:$M$302),1,F1)</f>
        <v>-9.8238291337493358E-2</v>
      </c>
      <c r="G3" cm="1">
        <f t="array" ref="G3">INDEX(LINEST($N$6:$N$302,$A$6:$M$302),1,G1)</f>
        <v>3.2657706415573695E-2</v>
      </c>
      <c r="H3" cm="1">
        <f t="array" ref="H3">INDEX(LINEST($N$6:$N$302,$A$6:$M$302),1,H1)</f>
        <v>-2.6261953083474886E-3</v>
      </c>
      <c r="I3" cm="1">
        <f t="array" ref="I3">INDEX(LINEST($N$6:$N$302,$A$6:$M$302),1,I1)</f>
        <v>0.13475306416630087</v>
      </c>
      <c r="J3" cm="1">
        <f t="array" ref="J3">INDEX(LINEST($N$6:$N$302,$A$6:$M$302),1,J1)</f>
        <v>3.2428048493887404E-2</v>
      </c>
      <c r="K3" cm="1">
        <f t="array" ref="K3">INDEX(LINEST($N$6:$N$302,$A$6:$M$302),1,K1)</f>
        <v>6.1034589201354329E-2</v>
      </c>
      <c r="L3" cm="1">
        <f t="array" ref="L3">INDEX(LINEST($N$6:$N$302,$A$6:$M$302),1,L1)</f>
        <v>0.14319872425029184</v>
      </c>
      <c r="M3" cm="1">
        <f t="array" ref="M3">INDEX(LINEST($N$6:$N$302,$A$6:$M$302),1,M1)</f>
        <v>6.062366153011442E-2</v>
      </c>
      <c r="N3" cm="1">
        <f t="array" ref="N3">INDEX(LINEST($N$6:$N$302,$A$6:$M$302),1,N1)</f>
        <v>-0.38603111349955122</v>
      </c>
    </row>
    <row r="5" spans="1:21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P5" t="s">
        <v>30</v>
      </c>
      <c r="Q5" t="s">
        <v>31</v>
      </c>
      <c r="R5" t="s">
        <v>32</v>
      </c>
      <c r="S5" t="s">
        <v>33</v>
      </c>
      <c r="T5" t="s">
        <v>35</v>
      </c>
      <c r="U5" t="s">
        <v>36</v>
      </c>
    </row>
    <row r="6" spans="1:21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P6">
        <f>SUMPRODUCT($A$3:$M$3,A6:M6)+$N$3</f>
        <v>0.35206181429495031</v>
      </c>
      <c r="Q6">
        <f>1/(1+EXP(-P6))</f>
        <v>0.58711747405982984</v>
      </c>
      <c r="R6">
        <f>IF(Q6&gt;=0.5,1,0)</f>
        <v>1</v>
      </c>
      <c r="S6">
        <f>IF(R6=N6,0,1)</f>
        <v>1</v>
      </c>
      <c r="T6">
        <f>IF(N6=1,Q6,1-Q6)</f>
        <v>0.41288252594017016</v>
      </c>
      <c r="U6">
        <f>IF(T6=0,-1000000,LN(T6))</f>
        <v>-0.88459216730490031</v>
      </c>
    </row>
    <row r="7" spans="1:21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P7">
        <f t="shared" ref="P7:P70" si="0">SUMPRODUCT($A$3:$M$3,A7:M7)+$N$3</f>
        <v>1.1503306640900153</v>
      </c>
      <c r="Q7">
        <f t="shared" ref="Q7:Q70" si="1">1/(1+EXP(-P7))</f>
        <v>0.75957130891273772</v>
      </c>
      <c r="R7">
        <f t="shared" ref="R7:R70" si="2">IF(Q7&gt;=0.5,1,0)</f>
        <v>1</v>
      </c>
      <c r="S7">
        <f t="shared" ref="S7:S70" si="3">IF(R7=N7,0,1)</f>
        <v>0</v>
      </c>
      <c r="T7">
        <f t="shared" ref="T7:T70" si="4">IF(N7=1,Q7,1-Q7)</f>
        <v>0.75957130891273772</v>
      </c>
      <c r="U7">
        <f t="shared" ref="U7:U70" si="5">IF(T7=0,-1000000,LN(T7))</f>
        <v>-0.27500107206760538</v>
      </c>
    </row>
    <row r="8" spans="1:21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P8">
        <f>SUMPRODUCT($A$3:$M$3,A8:M8)+$N$3</f>
        <v>1.1244711371239684</v>
      </c>
      <c r="Q8">
        <f t="shared" si="1"/>
        <v>0.75481712434014603</v>
      </c>
      <c r="R8">
        <f t="shared" si="2"/>
        <v>1</v>
      </c>
      <c r="S8">
        <f t="shared" si="3"/>
        <v>0</v>
      </c>
      <c r="T8">
        <f t="shared" si="4"/>
        <v>0.75481712434014603</v>
      </c>
      <c r="U8">
        <f t="shared" si="5"/>
        <v>-0.28127977848999836</v>
      </c>
    </row>
    <row r="9" spans="1:21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P9">
        <f>SUMPRODUCT($A$3:$M$3,A9:M9)+$N$3</f>
        <v>0.31630859598160632</v>
      </c>
      <c r="Q9">
        <f t="shared" si="1"/>
        <v>0.57842436622134086</v>
      </c>
      <c r="R9">
        <f t="shared" si="2"/>
        <v>1</v>
      </c>
      <c r="S9">
        <f t="shared" si="3"/>
        <v>1</v>
      </c>
      <c r="T9">
        <f t="shared" si="4"/>
        <v>0.42157563377865914</v>
      </c>
      <c r="U9">
        <f t="shared" si="5"/>
        <v>-0.8637560780678083</v>
      </c>
    </row>
    <row r="10" spans="1:21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P10">
        <f t="shared" si="0"/>
        <v>-1.8844372876711257E-2</v>
      </c>
      <c r="Q10">
        <f t="shared" si="1"/>
        <v>0.49528904618905051</v>
      </c>
      <c r="R10">
        <f t="shared" si="2"/>
        <v>0</v>
      </c>
      <c r="S10">
        <f t="shared" si="3"/>
        <v>0</v>
      </c>
      <c r="T10">
        <f t="shared" si="4"/>
        <v>0.50471095381094955</v>
      </c>
      <c r="U10">
        <f t="shared" si="5"/>
        <v>-0.68376938226345618</v>
      </c>
    </row>
    <row r="11" spans="1:21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P11">
        <f t="shared" si="0"/>
        <v>-2.1100027927071219E-3</v>
      </c>
      <c r="Q11">
        <f t="shared" si="1"/>
        <v>0.49947249949753081</v>
      </c>
      <c r="R11">
        <f t="shared" si="2"/>
        <v>0</v>
      </c>
      <c r="S11">
        <f t="shared" si="3"/>
        <v>0</v>
      </c>
      <c r="T11">
        <f t="shared" si="4"/>
        <v>0.50052750050246919</v>
      </c>
      <c r="U11">
        <f t="shared" si="5"/>
        <v>-0.69209273567746166</v>
      </c>
    </row>
    <row r="12" spans="1:21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P12">
        <f t="shared" si="0"/>
        <v>0.67628774008285097</v>
      </c>
      <c r="Q12">
        <f t="shared" si="1"/>
        <v>0.6629096564810133</v>
      </c>
      <c r="R12">
        <f t="shared" si="2"/>
        <v>1</v>
      </c>
      <c r="S12">
        <f t="shared" si="3"/>
        <v>0</v>
      </c>
      <c r="T12">
        <f t="shared" si="4"/>
        <v>0.6629096564810133</v>
      </c>
      <c r="U12">
        <f t="shared" si="5"/>
        <v>-0.41111656281567688</v>
      </c>
    </row>
    <row r="13" spans="1:21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P13">
        <f t="shared" si="0"/>
        <v>0.22603487642748865</v>
      </c>
      <c r="Q13">
        <f t="shared" si="1"/>
        <v>0.55626934783780813</v>
      </c>
      <c r="R13">
        <f t="shared" si="2"/>
        <v>1</v>
      </c>
      <c r="S13">
        <f t="shared" si="3"/>
        <v>1</v>
      </c>
      <c r="T13">
        <f t="shared" si="4"/>
        <v>0.44373065216219187</v>
      </c>
      <c r="U13">
        <f t="shared" si="5"/>
        <v>-0.8125375399043101</v>
      </c>
    </row>
    <row r="14" spans="1:21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P14">
        <f t="shared" si="0"/>
        <v>0.79548120671120415</v>
      </c>
      <c r="Q14">
        <f t="shared" si="1"/>
        <v>0.6890070385664907</v>
      </c>
      <c r="R14">
        <f t="shared" si="2"/>
        <v>1</v>
      </c>
      <c r="S14">
        <f t="shared" si="3"/>
        <v>0</v>
      </c>
      <c r="T14">
        <f t="shared" si="4"/>
        <v>0.6890070385664907</v>
      </c>
      <c r="U14">
        <f t="shared" si="5"/>
        <v>-0.37250379239440118</v>
      </c>
    </row>
    <row r="15" spans="1:21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P15">
        <f t="shared" si="0"/>
        <v>0.79949391047895302</v>
      </c>
      <c r="Q15">
        <f t="shared" si="1"/>
        <v>0.68986621326474851</v>
      </c>
      <c r="R15">
        <f t="shared" si="2"/>
        <v>1</v>
      </c>
      <c r="S15">
        <f t="shared" si="3"/>
        <v>0</v>
      </c>
      <c r="T15">
        <f t="shared" si="4"/>
        <v>0.68986621326474851</v>
      </c>
      <c r="U15">
        <f t="shared" si="5"/>
        <v>-0.37125759400987379</v>
      </c>
    </row>
    <row r="16" spans="1:21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P16">
        <f t="shared" si="0"/>
        <v>0.49801640402510927</v>
      </c>
      <c r="Q16">
        <f t="shared" si="1"/>
        <v>0.62199306567664736</v>
      </c>
      <c r="R16">
        <f t="shared" si="2"/>
        <v>1</v>
      </c>
      <c r="S16">
        <f t="shared" si="3"/>
        <v>1</v>
      </c>
      <c r="T16">
        <f t="shared" si="4"/>
        <v>0.37800693432335264</v>
      </c>
      <c r="U16">
        <f t="shared" si="5"/>
        <v>-0.97284273876003846</v>
      </c>
    </row>
    <row r="17" spans="1:21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P17">
        <f t="shared" si="0"/>
        <v>0.12372469132734232</v>
      </c>
      <c r="Q17">
        <f t="shared" si="1"/>
        <v>0.5308917757902627</v>
      </c>
      <c r="R17">
        <f t="shared" si="2"/>
        <v>1</v>
      </c>
      <c r="S17">
        <f t="shared" si="3"/>
        <v>1</v>
      </c>
      <c r="T17">
        <f t="shared" si="4"/>
        <v>0.4691082242097373</v>
      </c>
      <c r="U17">
        <f t="shared" si="5"/>
        <v>-0.7569217819111117</v>
      </c>
    </row>
    <row r="18" spans="1:21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P18">
        <f t="shared" si="0"/>
        <v>0.68510485364011886</v>
      </c>
      <c r="Q18">
        <f t="shared" si="1"/>
        <v>0.66487709383071436</v>
      </c>
      <c r="R18">
        <f t="shared" si="2"/>
        <v>1</v>
      </c>
      <c r="S18">
        <f t="shared" si="3"/>
        <v>0</v>
      </c>
      <c r="T18">
        <f t="shared" si="4"/>
        <v>0.66487709383071436</v>
      </c>
      <c r="U18">
        <f t="shared" si="5"/>
        <v>-0.40815307671504186</v>
      </c>
    </row>
    <row r="19" spans="1:21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P19">
        <f t="shared" si="0"/>
        <v>0.25189390673670231</v>
      </c>
      <c r="Q19">
        <f t="shared" si="1"/>
        <v>0.56264260085760798</v>
      </c>
      <c r="R19">
        <f t="shared" si="2"/>
        <v>1</v>
      </c>
      <c r="S19">
        <f t="shared" si="3"/>
        <v>1</v>
      </c>
      <c r="T19">
        <f t="shared" si="4"/>
        <v>0.43735739914239202</v>
      </c>
      <c r="U19">
        <f t="shared" si="5"/>
        <v>-0.82700457113341519</v>
      </c>
    </row>
    <row r="20" spans="1:21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P20">
        <f t="shared" si="0"/>
        <v>0.36006291063366225</v>
      </c>
      <c r="Q20">
        <f t="shared" si="1"/>
        <v>0.58905566286375366</v>
      </c>
      <c r="R20">
        <f t="shared" si="2"/>
        <v>1</v>
      </c>
      <c r="S20">
        <f t="shared" si="3"/>
        <v>1</v>
      </c>
      <c r="T20">
        <f t="shared" si="4"/>
        <v>0.41094433713624634</v>
      </c>
      <c r="U20">
        <f t="shared" si="5"/>
        <v>-0.88929750641627137</v>
      </c>
    </row>
    <row r="21" spans="1:21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P21">
        <f t="shared" si="0"/>
        <v>0.15582434626670372</v>
      </c>
      <c r="Q21">
        <f t="shared" si="1"/>
        <v>0.53887745236326423</v>
      </c>
      <c r="R21">
        <f t="shared" si="2"/>
        <v>1</v>
      </c>
      <c r="S21">
        <f t="shared" si="3"/>
        <v>1</v>
      </c>
      <c r="T21">
        <f t="shared" si="4"/>
        <v>0.46112254763673577</v>
      </c>
      <c r="U21">
        <f t="shared" si="5"/>
        <v>-0.77409144129741525</v>
      </c>
    </row>
    <row r="22" spans="1:21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P22">
        <f t="shared" si="0"/>
        <v>0.38118098862867023</v>
      </c>
      <c r="Q22">
        <f t="shared" si="1"/>
        <v>0.59415791142335517</v>
      </c>
      <c r="R22">
        <f t="shared" si="2"/>
        <v>1</v>
      </c>
      <c r="S22">
        <f t="shared" si="3"/>
        <v>0</v>
      </c>
      <c r="T22">
        <f t="shared" si="4"/>
        <v>0.59415791142335517</v>
      </c>
      <c r="U22">
        <f t="shared" si="5"/>
        <v>-0.52061015080272344</v>
      </c>
    </row>
    <row r="23" spans="1:21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P23">
        <f t="shared" si="0"/>
        <v>0.26990378612555443</v>
      </c>
      <c r="Q23">
        <f t="shared" si="1"/>
        <v>0.56706928444708926</v>
      </c>
      <c r="R23">
        <f t="shared" si="2"/>
        <v>1</v>
      </c>
      <c r="S23">
        <f t="shared" si="3"/>
        <v>1</v>
      </c>
      <c r="T23">
        <f t="shared" si="4"/>
        <v>0.43293071555291074</v>
      </c>
      <c r="U23">
        <f t="shared" si="5"/>
        <v>-0.83717757405307025</v>
      </c>
    </row>
    <row r="24" spans="1:21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P24">
        <f t="shared" si="0"/>
        <v>6.2954620654911309E-2</v>
      </c>
      <c r="Q24">
        <f t="shared" si="1"/>
        <v>0.51573345915934965</v>
      </c>
      <c r="R24">
        <f t="shared" si="2"/>
        <v>1</v>
      </c>
      <c r="S24">
        <f t="shared" si="3"/>
        <v>1</v>
      </c>
      <c r="T24">
        <f t="shared" si="4"/>
        <v>0.48426654084065035</v>
      </c>
      <c r="U24">
        <f t="shared" si="5"/>
        <v>-0.72511981963120387</v>
      </c>
    </row>
    <row r="25" spans="1:21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P25">
        <f t="shared" si="0"/>
        <v>5.0393894812684858E-2</v>
      </c>
      <c r="Q25">
        <f t="shared" si="1"/>
        <v>0.51259580818123252</v>
      </c>
      <c r="R25">
        <f t="shared" si="2"/>
        <v>1</v>
      </c>
      <c r="S25">
        <f t="shared" si="3"/>
        <v>1</v>
      </c>
      <c r="T25">
        <f t="shared" si="4"/>
        <v>0.48740419181876748</v>
      </c>
      <c r="U25">
        <f t="shared" si="5"/>
        <v>-0.7186615374612364</v>
      </c>
    </row>
    <row r="26" spans="1:21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P26">
        <f t="shared" si="0"/>
        <v>0.2578886692125455</v>
      </c>
      <c r="Q26">
        <f t="shared" si="1"/>
        <v>0.5641172092843223</v>
      </c>
      <c r="R26">
        <f t="shared" si="2"/>
        <v>1</v>
      </c>
      <c r="S26">
        <f t="shared" si="3"/>
        <v>1</v>
      </c>
      <c r="T26">
        <f t="shared" si="4"/>
        <v>0.4358827907156777</v>
      </c>
      <c r="U26">
        <f t="shared" si="5"/>
        <v>-0.83038190040776394</v>
      </c>
    </row>
    <row r="27" spans="1:21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P27">
        <f t="shared" si="0"/>
        <v>-0.13667414978826897</v>
      </c>
      <c r="Q27">
        <f t="shared" si="1"/>
        <v>0.46588455190510036</v>
      </c>
      <c r="R27">
        <f t="shared" si="2"/>
        <v>0</v>
      </c>
      <c r="S27">
        <f t="shared" si="3"/>
        <v>0</v>
      </c>
      <c r="T27">
        <f t="shared" si="4"/>
        <v>0.53411544809489964</v>
      </c>
      <c r="U27">
        <f t="shared" si="5"/>
        <v>-0.62714326845443025</v>
      </c>
    </row>
    <row r="28" spans="1:21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P28">
        <f t="shared" si="0"/>
        <v>0.21851829950464996</v>
      </c>
      <c r="Q28">
        <f t="shared" si="1"/>
        <v>0.55441322657713032</v>
      </c>
      <c r="R28">
        <f t="shared" si="2"/>
        <v>1</v>
      </c>
      <c r="S28">
        <f t="shared" si="3"/>
        <v>0</v>
      </c>
      <c r="T28">
        <f t="shared" si="4"/>
        <v>0.55441322657713032</v>
      </c>
      <c r="U28">
        <f t="shared" si="5"/>
        <v>-0.58984497392867197</v>
      </c>
    </row>
    <row r="29" spans="1:21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P29">
        <f t="shared" si="0"/>
        <v>0.78473792407181164</v>
      </c>
      <c r="Q29">
        <f t="shared" si="1"/>
        <v>0.68670034560650406</v>
      </c>
      <c r="R29">
        <f t="shared" si="2"/>
        <v>1</v>
      </c>
      <c r="S29">
        <f t="shared" si="3"/>
        <v>0</v>
      </c>
      <c r="T29">
        <f t="shared" si="4"/>
        <v>0.68670034560650406</v>
      </c>
      <c r="U29">
        <f t="shared" si="5"/>
        <v>-0.37585726006962156</v>
      </c>
    </row>
    <row r="30" spans="1:21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P30">
        <f t="shared" si="0"/>
        <v>1.1319034417148064</v>
      </c>
      <c r="Q30">
        <f t="shared" si="1"/>
        <v>0.75619000143685178</v>
      </c>
      <c r="R30">
        <f t="shared" si="2"/>
        <v>1</v>
      </c>
      <c r="S30">
        <f t="shared" si="3"/>
        <v>0</v>
      </c>
      <c r="T30">
        <f t="shared" si="4"/>
        <v>0.75619000143685178</v>
      </c>
      <c r="U30">
        <f t="shared" si="5"/>
        <v>-0.27946260972743348</v>
      </c>
    </row>
    <row r="31" spans="1:21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P31">
        <f t="shared" si="0"/>
        <v>7.5798279654254563E-2</v>
      </c>
      <c r="Q31">
        <f t="shared" si="1"/>
        <v>0.51894050241774792</v>
      </c>
      <c r="R31">
        <f t="shared" si="2"/>
        <v>1</v>
      </c>
      <c r="S31">
        <f t="shared" si="3"/>
        <v>1</v>
      </c>
      <c r="T31">
        <f t="shared" si="4"/>
        <v>0.48105949758225208</v>
      </c>
      <c r="U31">
        <f t="shared" si="5"/>
        <v>-0.7317643209288478</v>
      </c>
    </row>
    <row r="32" spans="1:21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P32">
        <f t="shared" si="0"/>
        <v>-4.0770796101645579E-2</v>
      </c>
      <c r="Q32">
        <f t="shared" si="1"/>
        <v>0.48980871264773329</v>
      </c>
      <c r="R32">
        <f t="shared" si="2"/>
        <v>0</v>
      </c>
      <c r="S32">
        <f t="shared" si="3"/>
        <v>0</v>
      </c>
      <c r="T32">
        <f t="shared" si="4"/>
        <v>0.51019128735226671</v>
      </c>
      <c r="U32">
        <f t="shared" si="5"/>
        <v>-0.67296955034641104</v>
      </c>
    </row>
    <row r="33" spans="1:21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P33">
        <f t="shared" si="0"/>
        <v>0.16620528660512757</v>
      </c>
      <c r="Q33">
        <f t="shared" si="1"/>
        <v>0.54145593331962971</v>
      </c>
      <c r="R33">
        <f t="shared" si="2"/>
        <v>1</v>
      </c>
      <c r="S33">
        <f t="shared" si="3"/>
        <v>1</v>
      </c>
      <c r="T33">
        <f t="shared" si="4"/>
        <v>0.45854406668037029</v>
      </c>
      <c r="U33">
        <f t="shared" si="5"/>
        <v>-0.77969888136878029</v>
      </c>
    </row>
    <row r="34" spans="1:21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P34">
        <f t="shared" si="0"/>
        <v>0.28845523611639512</v>
      </c>
      <c r="Q34">
        <f t="shared" si="1"/>
        <v>0.57161790716646765</v>
      </c>
      <c r="R34">
        <f t="shared" si="2"/>
        <v>1</v>
      </c>
      <c r="S34">
        <f t="shared" si="3"/>
        <v>1</v>
      </c>
      <c r="T34">
        <f t="shared" si="4"/>
        <v>0.42838209283353235</v>
      </c>
      <c r="U34">
        <f t="shared" si="5"/>
        <v>-0.84773974139066011</v>
      </c>
    </row>
    <row r="35" spans="1:21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P35">
        <f t="shared" si="0"/>
        <v>0.84780584468772713</v>
      </c>
      <c r="Q35">
        <f t="shared" si="1"/>
        <v>0.70010666586389936</v>
      </c>
      <c r="R35">
        <f t="shared" si="2"/>
        <v>1</v>
      </c>
      <c r="S35">
        <f t="shared" si="3"/>
        <v>0</v>
      </c>
      <c r="T35">
        <f t="shared" si="4"/>
        <v>0.70010666586389936</v>
      </c>
      <c r="U35">
        <f t="shared" si="5"/>
        <v>-0.3565225757417852</v>
      </c>
    </row>
    <row r="36" spans="1:21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P36">
        <f t="shared" si="0"/>
        <v>0.1869892213726273</v>
      </c>
      <c r="Q36">
        <f t="shared" si="1"/>
        <v>0.54661157008150241</v>
      </c>
      <c r="R36">
        <f t="shared" si="2"/>
        <v>1</v>
      </c>
      <c r="S36">
        <f t="shared" si="3"/>
        <v>1</v>
      </c>
      <c r="T36">
        <f t="shared" si="4"/>
        <v>0.45338842991849759</v>
      </c>
      <c r="U36">
        <f t="shared" si="5"/>
        <v>-0.79100605972020022</v>
      </c>
    </row>
    <row r="37" spans="1:21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P37">
        <f t="shared" si="0"/>
        <v>0.78210094029152299</v>
      </c>
      <c r="Q37">
        <f t="shared" si="1"/>
        <v>0.68613273793631768</v>
      </c>
      <c r="R37">
        <f t="shared" si="2"/>
        <v>1</v>
      </c>
      <c r="S37">
        <f t="shared" si="3"/>
        <v>0</v>
      </c>
      <c r="T37">
        <f t="shared" si="4"/>
        <v>0.68613273793631768</v>
      </c>
      <c r="U37">
        <f t="shared" si="5"/>
        <v>-0.37668417444010738</v>
      </c>
    </row>
    <row r="38" spans="1:21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P38">
        <f t="shared" si="0"/>
        <v>0.17526753018926156</v>
      </c>
      <c r="Q38">
        <f t="shared" si="1"/>
        <v>0.54370505954201453</v>
      </c>
      <c r="R38">
        <f t="shared" si="2"/>
        <v>1</v>
      </c>
      <c r="S38">
        <f t="shared" si="3"/>
        <v>0</v>
      </c>
      <c r="T38">
        <f t="shared" si="4"/>
        <v>0.54370505954201453</v>
      </c>
      <c r="U38">
        <f t="shared" si="5"/>
        <v>-0.60934834911300395</v>
      </c>
    </row>
    <row r="39" spans="1:21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P39">
        <f t="shared" si="0"/>
        <v>0.52951080375373638</v>
      </c>
      <c r="Q39">
        <f t="shared" si="1"/>
        <v>0.62936900748416769</v>
      </c>
      <c r="R39">
        <f t="shared" si="2"/>
        <v>1</v>
      </c>
      <c r="S39">
        <f t="shared" si="3"/>
        <v>1</v>
      </c>
      <c r="T39">
        <f t="shared" si="4"/>
        <v>0.37063099251583231</v>
      </c>
      <c r="U39">
        <f t="shared" si="5"/>
        <v>-0.99254834068407682</v>
      </c>
    </row>
    <row r="40" spans="1:21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P40">
        <f t="shared" si="0"/>
        <v>0.23484438032795829</v>
      </c>
      <c r="Q40">
        <f t="shared" si="1"/>
        <v>0.5584427393965854</v>
      </c>
      <c r="R40">
        <f t="shared" si="2"/>
        <v>1</v>
      </c>
      <c r="S40">
        <f t="shared" si="3"/>
        <v>1</v>
      </c>
      <c r="T40">
        <f t="shared" si="4"/>
        <v>0.4415572606034146</v>
      </c>
      <c r="U40">
        <f t="shared" si="5"/>
        <v>-0.81744757175689531</v>
      </c>
    </row>
    <row r="41" spans="1:21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P41">
        <f t="shared" si="0"/>
        <v>0.19384338337999341</v>
      </c>
      <c r="Q41">
        <f t="shared" si="1"/>
        <v>0.54830966980490548</v>
      </c>
      <c r="R41">
        <f t="shared" si="2"/>
        <v>1</v>
      </c>
      <c r="S41">
        <f t="shared" si="3"/>
        <v>1</v>
      </c>
      <c r="T41">
        <f t="shared" si="4"/>
        <v>0.45169033019509452</v>
      </c>
      <c r="U41">
        <f t="shared" si="5"/>
        <v>-0.79475844413298113</v>
      </c>
    </row>
    <row r="42" spans="1:21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P42">
        <f t="shared" si="0"/>
        <v>0.86948881301161307</v>
      </c>
      <c r="Q42">
        <f t="shared" si="1"/>
        <v>0.70463931948731762</v>
      </c>
      <c r="R42">
        <f t="shared" si="2"/>
        <v>1</v>
      </c>
      <c r="S42">
        <f t="shared" si="3"/>
        <v>0</v>
      </c>
      <c r="T42">
        <f t="shared" si="4"/>
        <v>0.70463931948731762</v>
      </c>
      <c r="U42">
        <f t="shared" si="5"/>
        <v>-0.35006921064771279</v>
      </c>
    </row>
    <row r="43" spans="1:21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P43">
        <f t="shared" si="0"/>
        <v>0.99348549219521776</v>
      </c>
      <c r="Q43">
        <f t="shared" si="1"/>
        <v>0.72977582234596183</v>
      </c>
      <c r="R43">
        <f t="shared" si="2"/>
        <v>1</v>
      </c>
      <c r="S43">
        <f t="shared" si="3"/>
        <v>0</v>
      </c>
      <c r="T43">
        <f t="shared" si="4"/>
        <v>0.72977582234596183</v>
      </c>
      <c r="U43">
        <f t="shared" si="5"/>
        <v>-0.31501788467907671</v>
      </c>
    </row>
    <row r="44" spans="1:21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P44">
        <f t="shared" si="0"/>
        <v>0.94705915154289444</v>
      </c>
      <c r="Q44">
        <f t="shared" si="1"/>
        <v>0.72052336523248095</v>
      </c>
      <c r="R44">
        <f t="shared" si="2"/>
        <v>1</v>
      </c>
      <c r="S44">
        <f t="shared" si="3"/>
        <v>0</v>
      </c>
      <c r="T44">
        <f t="shared" si="4"/>
        <v>0.72052336523248095</v>
      </c>
      <c r="U44">
        <f t="shared" si="5"/>
        <v>-0.32777743487686795</v>
      </c>
    </row>
    <row r="45" spans="1:21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P45">
        <f t="shared" si="0"/>
        <v>0.35279070185170947</v>
      </c>
      <c r="Q45">
        <f t="shared" si="1"/>
        <v>0.58729415286350584</v>
      </c>
      <c r="R45">
        <f t="shared" si="2"/>
        <v>1</v>
      </c>
      <c r="S45">
        <f t="shared" si="3"/>
        <v>1</v>
      </c>
      <c r="T45">
        <f t="shared" si="4"/>
        <v>0.41270584713649416</v>
      </c>
      <c r="U45">
        <f t="shared" si="5"/>
        <v>-0.88502017431695346</v>
      </c>
    </row>
    <row r="46" spans="1:21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P46">
        <f t="shared" si="0"/>
        <v>1.0398550553480717</v>
      </c>
      <c r="Q46">
        <f t="shared" si="1"/>
        <v>0.73882203794767198</v>
      </c>
      <c r="R46">
        <f t="shared" si="2"/>
        <v>1</v>
      </c>
      <c r="S46">
        <f t="shared" si="3"/>
        <v>0</v>
      </c>
      <c r="T46">
        <f t="shared" si="4"/>
        <v>0.73882203794767198</v>
      </c>
      <c r="U46">
        <f t="shared" si="5"/>
        <v>-0.30269820171960043</v>
      </c>
    </row>
    <row r="47" spans="1:21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P47">
        <f t="shared" si="0"/>
        <v>0.3610748035265493</v>
      </c>
      <c r="Q47">
        <f t="shared" si="1"/>
        <v>0.58930058876206592</v>
      </c>
      <c r="R47">
        <f t="shared" si="2"/>
        <v>1</v>
      </c>
      <c r="S47">
        <f t="shared" si="3"/>
        <v>1</v>
      </c>
      <c r="T47">
        <f t="shared" si="4"/>
        <v>0.41069941123793408</v>
      </c>
      <c r="U47">
        <f t="shared" si="5"/>
        <v>-0.88989369157815335</v>
      </c>
    </row>
    <row r="48" spans="1:21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P48">
        <f t="shared" si="0"/>
        <v>0.25809073963275853</v>
      </c>
      <c r="Q48">
        <f t="shared" si="1"/>
        <v>0.56416689553062493</v>
      </c>
      <c r="R48">
        <f t="shared" si="2"/>
        <v>1</v>
      </c>
      <c r="S48">
        <f t="shared" si="3"/>
        <v>1</v>
      </c>
      <c r="T48">
        <f t="shared" si="4"/>
        <v>0.43583310446937507</v>
      </c>
      <c r="U48">
        <f t="shared" si="5"/>
        <v>-0.8304958968293753</v>
      </c>
    </row>
    <row r="49" spans="1:21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P49">
        <f t="shared" si="0"/>
        <v>0.11539051592533422</v>
      </c>
      <c r="Q49">
        <f t="shared" si="1"/>
        <v>0.52881566276457781</v>
      </c>
      <c r="R49">
        <f t="shared" si="2"/>
        <v>1</v>
      </c>
      <c r="S49">
        <f t="shared" si="3"/>
        <v>1</v>
      </c>
      <c r="T49">
        <f t="shared" si="4"/>
        <v>0.47118433723542219</v>
      </c>
      <c r="U49">
        <f t="shared" si="5"/>
        <v>-0.75250588735974311</v>
      </c>
    </row>
    <row r="50" spans="1:21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P50">
        <f t="shared" si="0"/>
        <v>0.12931457391910162</v>
      </c>
      <c r="Q50">
        <f t="shared" si="1"/>
        <v>0.53228366802487515</v>
      </c>
      <c r="R50">
        <f t="shared" si="2"/>
        <v>1</v>
      </c>
      <c r="S50">
        <f t="shared" si="3"/>
        <v>0</v>
      </c>
      <c r="T50">
        <f t="shared" si="4"/>
        <v>0.53228366802487515</v>
      </c>
      <c r="U50">
        <f t="shared" si="5"/>
        <v>-0.63057872117366387</v>
      </c>
    </row>
    <row r="51" spans="1:21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P51">
        <f t="shared" si="0"/>
        <v>0.66028962809036951</v>
      </c>
      <c r="Q51">
        <f t="shared" si="1"/>
        <v>0.65932544638302482</v>
      </c>
      <c r="R51">
        <f t="shared" si="2"/>
        <v>1</v>
      </c>
      <c r="S51">
        <f t="shared" si="3"/>
        <v>0</v>
      </c>
      <c r="T51">
        <f t="shared" si="4"/>
        <v>0.65932544638302482</v>
      </c>
      <c r="U51">
        <f t="shared" si="5"/>
        <v>-0.41653801754668046</v>
      </c>
    </row>
    <row r="52" spans="1:21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P52">
        <f t="shared" si="0"/>
        <v>0.18173881339002751</v>
      </c>
      <c r="Q52">
        <f t="shared" si="1"/>
        <v>0.54531005979576508</v>
      </c>
      <c r="R52">
        <f t="shared" si="2"/>
        <v>1</v>
      </c>
      <c r="S52">
        <f t="shared" si="3"/>
        <v>1</v>
      </c>
      <c r="T52">
        <f t="shared" si="4"/>
        <v>0.45468994020423492</v>
      </c>
      <c r="U52">
        <f t="shared" si="5"/>
        <v>-0.78813954242442563</v>
      </c>
    </row>
    <row r="53" spans="1:21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P53">
        <f t="shared" si="0"/>
        <v>0.79588010758471694</v>
      </c>
      <c r="Q53">
        <f t="shared" si="1"/>
        <v>0.68909250714039672</v>
      </c>
      <c r="R53">
        <f t="shared" si="2"/>
        <v>1</v>
      </c>
      <c r="S53">
        <f t="shared" si="3"/>
        <v>0</v>
      </c>
      <c r="T53">
        <f t="shared" si="4"/>
        <v>0.68909250714039672</v>
      </c>
      <c r="U53">
        <f t="shared" si="5"/>
        <v>-0.37237975407760199</v>
      </c>
    </row>
    <row r="54" spans="1:21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P54">
        <f t="shared" si="0"/>
        <v>0.19629368062563002</v>
      </c>
      <c r="Q54">
        <f t="shared" si="1"/>
        <v>0.54891645342289375</v>
      </c>
      <c r="R54">
        <f t="shared" si="2"/>
        <v>1</v>
      </c>
      <c r="S54">
        <f t="shared" si="3"/>
        <v>1</v>
      </c>
      <c r="T54">
        <f t="shared" si="4"/>
        <v>0.45108354657710625</v>
      </c>
      <c r="U54">
        <f t="shared" si="5"/>
        <v>-0.79610270923629078</v>
      </c>
    </row>
    <row r="55" spans="1:21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P55">
        <f t="shared" si="0"/>
        <v>0.26225712678243895</v>
      </c>
      <c r="Q55">
        <f t="shared" si="1"/>
        <v>0.56519106238873029</v>
      </c>
      <c r="R55">
        <f t="shared" si="2"/>
        <v>1</v>
      </c>
      <c r="S55">
        <f t="shared" si="3"/>
        <v>1</v>
      </c>
      <c r="T55">
        <f t="shared" si="4"/>
        <v>0.43480893761126971</v>
      </c>
      <c r="U55">
        <f t="shared" si="5"/>
        <v>-0.83284856826265485</v>
      </c>
    </row>
    <row r="56" spans="1:21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P56">
        <f t="shared" si="0"/>
        <v>-3.1389294631999021E-2</v>
      </c>
      <c r="Q56">
        <f t="shared" si="1"/>
        <v>0.4921533206012223</v>
      </c>
      <c r="R56">
        <f t="shared" si="2"/>
        <v>0</v>
      </c>
      <c r="S56">
        <f t="shared" si="3"/>
        <v>0</v>
      </c>
      <c r="T56">
        <f t="shared" si="4"/>
        <v>0.5078466793987777</v>
      </c>
      <c r="U56">
        <f t="shared" si="5"/>
        <v>-0.67757568916525601</v>
      </c>
    </row>
    <row r="57" spans="1:21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P57">
        <f t="shared" si="0"/>
        <v>0.46074243565899764</v>
      </c>
      <c r="Q57">
        <f t="shared" si="1"/>
        <v>0.61319028772951967</v>
      </c>
      <c r="R57">
        <f t="shared" si="2"/>
        <v>1</v>
      </c>
      <c r="S57">
        <f t="shared" si="3"/>
        <v>1</v>
      </c>
      <c r="T57">
        <f t="shared" si="4"/>
        <v>0.38680971227048033</v>
      </c>
      <c r="U57">
        <f t="shared" si="5"/>
        <v>-0.94982240643570637</v>
      </c>
    </row>
    <row r="58" spans="1:21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P58">
        <f t="shared" si="0"/>
        <v>0.42845664554218799</v>
      </c>
      <c r="Q58">
        <f t="shared" si="1"/>
        <v>0.60550506948193272</v>
      </c>
      <c r="R58">
        <f t="shared" si="2"/>
        <v>1</v>
      </c>
      <c r="S58">
        <f t="shared" si="3"/>
        <v>0</v>
      </c>
      <c r="T58">
        <f t="shared" si="4"/>
        <v>0.60550506948193272</v>
      </c>
      <c r="U58">
        <f t="shared" si="5"/>
        <v>-0.50169234363438897</v>
      </c>
    </row>
    <row r="59" spans="1:21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P59">
        <f t="shared" si="0"/>
        <v>4.1067935017371604E-2</v>
      </c>
      <c r="Q59">
        <f t="shared" si="1"/>
        <v>0.51026554099425248</v>
      </c>
      <c r="R59">
        <f t="shared" si="2"/>
        <v>1</v>
      </c>
      <c r="S59">
        <f t="shared" si="3"/>
        <v>1</v>
      </c>
      <c r="T59">
        <f t="shared" si="4"/>
        <v>0.48973445900574752</v>
      </c>
      <c r="U59">
        <f t="shared" si="5"/>
        <v>-0.71389195516582793</v>
      </c>
    </row>
    <row r="60" spans="1:21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P60">
        <f t="shared" si="0"/>
        <v>0.8150925699692898</v>
      </c>
      <c r="Q60">
        <f t="shared" si="1"/>
        <v>0.69319363710905357</v>
      </c>
      <c r="R60">
        <f t="shared" si="2"/>
        <v>1</v>
      </c>
      <c r="S60">
        <f t="shared" si="3"/>
        <v>0</v>
      </c>
      <c r="T60">
        <f t="shared" si="4"/>
        <v>0.69319363710905357</v>
      </c>
      <c r="U60">
        <f t="shared" si="5"/>
        <v>-0.36644590019456535</v>
      </c>
    </row>
    <row r="61" spans="1:21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P61">
        <f t="shared" si="0"/>
        <v>1.058467715190921</v>
      </c>
      <c r="Q61">
        <f t="shared" si="1"/>
        <v>0.74239761480984312</v>
      </c>
      <c r="R61">
        <f t="shared" si="2"/>
        <v>1</v>
      </c>
      <c r="S61">
        <f t="shared" si="3"/>
        <v>0</v>
      </c>
      <c r="T61">
        <f t="shared" si="4"/>
        <v>0.74239761480984312</v>
      </c>
      <c r="U61">
        <f t="shared" si="5"/>
        <v>-0.29787031032532468</v>
      </c>
    </row>
    <row r="62" spans="1:21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P62">
        <f t="shared" si="0"/>
        <v>0.60931652356101629</v>
      </c>
      <c r="Q62">
        <f t="shared" si="1"/>
        <v>0.64778487610470814</v>
      </c>
      <c r="R62">
        <f t="shared" si="2"/>
        <v>1</v>
      </c>
      <c r="S62">
        <f t="shared" si="3"/>
        <v>0</v>
      </c>
      <c r="T62">
        <f t="shared" si="4"/>
        <v>0.64778487610470814</v>
      </c>
      <c r="U62">
        <f t="shared" si="5"/>
        <v>-0.4341966190677547</v>
      </c>
    </row>
    <row r="63" spans="1:21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P63">
        <f t="shared" si="0"/>
        <v>0.47215579040950562</v>
      </c>
      <c r="Q63">
        <f t="shared" si="1"/>
        <v>0.61589387598295242</v>
      </c>
      <c r="R63">
        <f t="shared" si="2"/>
        <v>1</v>
      </c>
      <c r="S63">
        <f t="shared" si="3"/>
        <v>0</v>
      </c>
      <c r="T63">
        <f t="shared" si="4"/>
        <v>0.61589387598295242</v>
      </c>
      <c r="U63">
        <f t="shared" si="5"/>
        <v>-0.48468060953884551</v>
      </c>
    </row>
    <row r="64" spans="1:21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P64">
        <f t="shared" si="0"/>
        <v>0.49605774693598759</v>
      </c>
      <c r="Q64">
        <f t="shared" si="1"/>
        <v>0.62153244082694503</v>
      </c>
      <c r="R64">
        <f t="shared" si="2"/>
        <v>1</v>
      </c>
      <c r="S64">
        <f t="shared" si="3"/>
        <v>1</v>
      </c>
      <c r="T64">
        <f t="shared" si="4"/>
        <v>0.37846755917305497</v>
      </c>
      <c r="U64">
        <f t="shared" si="5"/>
        <v>-0.97162491869976864</v>
      </c>
    </row>
    <row r="65" spans="1:21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P65">
        <f t="shared" si="0"/>
        <v>0.42569836639785474</v>
      </c>
      <c r="Q65">
        <f t="shared" si="1"/>
        <v>0.60484601160660201</v>
      </c>
      <c r="R65">
        <f t="shared" si="2"/>
        <v>1</v>
      </c>
      <c r="S65">
        <f t="shared" si="3"/>
        <v>1</v>
      </c>
      <c r="T65">
        <f t="shared" si="4"/>
        <v>0.39515398839339799</v>
      </c>
      <c r="U65">
        <f t="shared" si="5"/>
        <v>-0.92847974601653804</v>
      </c>
    </row>
    <row r="66" spans="1:21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P66">
        <f t="shared" si="0"/>
        <v>0.6155119673147379</v>
      </c>
      <c r="Q66">
        <f t="shared" si="1"/>
        <v>0.64919712869599422</v>
      </c>
      <c r="R66">
        <f t="shared" si="2"/>
        <v>1</v>
      </c>
      <c r="S66">
        <f t="shared" si="3"/>
        <v>0</v>
      </c>
      <c r="T66">
        <f t="shared" si="4"/>
        <v>0.64919712869599422</v>
      </c>
      <c r="U66">
        <f t="shared" si="5"/>
        <v>-0.43201886618574814</v>
      </c>
    </row>
    <row r="67" spans="1:21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P67">
        <f t="shared" si="0"/>
        <v>0.36216624281250065</v>
      </c>
      <c r="Q67">
        <f t="shared" si="1"/>
        <v>0.58956471902712826</v>
      </c>
      <c r="R67">
        <f t="shared" si="2"/>
        <v>1</v>
      </c>
      <c r="S67">
        <f t="shared" si="3"/>
        <v>1</v>
      </c>
      <c r="T67">
        <f t="shared" si="4"/>
        <v>0.41043528097287174</v>
      </c>
      <c r="U67">
        <f t="shared" si="5"/>
        <v>-0.89053702153772651</v>
      </c>
    </row>
    <row r="68" spans="1:21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P68">
        <f t="shared" si="0"/>
        <v>1.2729758013528238</v>
      </c>
      <c r="Q68">
        <f t="shared" si="1"/>
        <v>0.78125173043402607</v>
      </c>
      <c r="R68">
        <f t="shared" si="2"/>
        <v>1</v>
      </c>
      <c r="S68">
        <f t="shared" si="3"/>
        <v>0</v>
      </c>
      <c r="T68">
        <f t="shared" si="4"/>
        <v>0.78125173043402607</v>
      </c>
      <c r="U68">
        <f t="shared" si="5"/>
        <v>-0.24685786297842544</v>
      </c>
    </row>
    <row r="69" spans="1:21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P69">
        <f t="shared" si="0"/>
        <v>-0.1095776252764411</v>
      </c>
      <c r="Q69">
        <f t="shared" si="1"/>
        <v>0.47263297177849195</v>
      </c>
      <c r="R69">
        <f t="shared" si="2"/>
        <v>0</v>
      </c>
      <c r="S69">
        <f t="shared" si="3"/>
        <v>0</v>
      </c>
      <c r="T69">
        <f t="shared" si="4"/>
        <v>0.52736702822150805</v>
      </c>
      <c r="U69">
        <f t="shared" si="5"/>
        <v>-0.63985852461015025</v>
      </c>
    </row>
    <row r="70" spans="1:21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P70">
        <f t="shared" si="0"/>
        <v>0.78572521003762874</v>
      </c>
      <c r="Q70">
        <f t="shared" si="1"/>
        <v>0.68691271408982313</v>
      </c>
      <c r="R70">
        <f t="shared" si="2"/>
        <v>1</v>
      </c>
      <c r="S70">
        <f t="shared" si="3"/>
        <v>0</v>
      </c>
      <c r="T70">
        <f t="shared" si="4"/>
        <v>0.68691271408982313</v>
      </c>
      <c r="U70">
        <f t="shared" si="5"/>
        <v>-0.37554804855840007</v>
      </c>
    </row>
    <row r="71" spans="1:21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P71">
        <f t="shared" ref="P71:P134" si="6">SUMPRODUCT($A$3:$M$3,A71:M71)+$N$3</f>
        <v>1.1776276338823015</v>
      </c>
      <c r="Q71">
        <f t="shared" ref="Q71:Q134" si="7">1/(1+EXP(-P71))</f>
        <v>0.76452097793972151</v>
      </c>
      <c r="R71">
        <f t="shared" ref="R71:R134" si="8">IF(Q71&gt;=0.5,1,0)</f>
        <v>1</v>
      </c>
      <c r="S71">
        <f t="shared" ref="S71:S134" si="9">IF(R71=N71,0,1)</f>
        <v>0</v>
      </c>
      <c r="T71">
        <f t="shared" ref="T71:T134" si="10">IF(N71=1,Q71,1-Q71)</f>
        <v>0.76452097793972151</v>
      </c>
      <c r="U71">
        <f t="shared" ref="U71:U134" si="11">IF(T71=0,-1000000,LN(T71))</f>
        <v>-0.26850581391137374</v>
      </c>
    </row>
    <row r="72" spans="1:21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P72">
        <f t="shared" si="6"/>
        <v>0.35845825238933826</v>
      </c>
      <c r="Q72">
        <f t="shared" si="7"/>
        <v>0.58866716927064611</v>
      </c>
      <c r="R72">
        <f t="shared" si="8"/>
        <v>1</v>
      </c>
      <c r="S72">
        <f t="shared" si="9"/>
        <v>0</v>
      </c>
      <c r="T72">
        <f t="shared" si="10"/>
        <v>0.58866716927064611</v>
      </c>
      <c r="U72">
        <f t="shared" si="11"/>
        <v>-0.52989433268606134</v>
      </c>
    </row>
    <row r="73" spans="1:21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P73">
        <f t="shared" si="6"/>
        <v>0.51366830452324919</v>
      </c>
      <c r="Q73">
        <f t="shared" si="7"/>
        <v>0.62566601619505757</v>
      </c>
      <c r="R73">
        <f t="shared" si="8"/>
        <v>1</v>
      </c>
      <c r="S73">
        <f t="shared" si="9"/>
        <v>1</v>
      </c>
      <c r="T73">
        <f t="shared" si="10"/>
        <v>0.37433398380494243</v>
      </c>
      <c r="U73">
        <f t="shared" si="11"/>
        <v>-0.9826068752331466</v>
      </c>
    </row>
    <row r="74" spans="1:21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P74">
        <f t="shared" si="6"/>
        <v>1.0472221024328192</v>
      </c>
      <c r="Q74">
        <f t="shared" si="7"/>
        <v>0.74024110992110959</v>
      </c>
      <c r="R74">
        <f t="shared" si="8"/>
        <v>1</v>
      </c>
      <c r="S74">
        <f t="shared" si="9"/>
        <v>0</v>
      </c>
      <c r="T74">
        <f t="shared" si="10"/>
        <v>0.74024110992110959</v>
      </c>
      <c r="U74">
        <f t="shared" si="11"/>
        <v>-0.30077932163538923</v>
      </c>
    </row>
    <row r="75" spans="1:21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P75">
        <f t="shared" si="6"/>
        <v>0.38849118595338539</v>
      </c>
      <c r="Q75">
        <f t="shared" si="7"/>
        <v>0.59591943032763495</v>
      </c>
      <c r="R75">
        <f t="shared" si="8"/>
        <v>1</v>
      </c>
      <c r="S75">
        <f t="shared" si="9"/>
        <v>0</v>
      </c>
      <c r="T75">
        <f t="shared" si="10"/>
        <v>0.59591943032763495</v>
      </c>
      <c r="U75">
        <f t="shared" si="11"/>
        <v>-0.51764980506900504</v>
      </c>
    </row>
    <row r="76" spans="1:21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P76">
        <f t="shared" si="6"/>
        <v>8.9171172386420361E-2</v>
      </c>
      <c r="Q76">
        <f t="shared" si="7"/>
        <v>0.52227803307464071</v>
      </c>
      <c r="R76">
        <f t="shared" si="8"/>
        <v>1</v>
      </c>
      <c r="S76">
        <f t="shared" si="9"/>
        <v>1</v>
      </c>
      <c r="T76">
        <f t="shared" si="10"/>
        <v>0.47772196692535929</v>
      </c>
      <c r="U76">
        <f t="shared" si="11"/>
        <v>-0.73872637487195936</v>
      </c>
    </row>
    <row r="77" spans="1:21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P77">
        <f t="shared" si="6"/>
        <v>0.67859975424881236</v>
      </c>
      <c r="Q77">
        <f t="shared" si="7"/>
        <v>0.66342610544240788</v>
      </c>
      <c r="R77">
        <f t="shared" si="8"/>
        <v>1</v>
      </c>
      <c r="S77">
        <f t="shared" si="9"/>
        <v>0</v>
      </c>
      <c r="T77">
        <f t="shared" si="10"/>
        <v>0.66342610544240788</v>
      </c>
      <c r="U77">
        <f t="shared" si="11"/>
        <v>-0.41033780225998401</v>
      </c>
    </row>
    <row r="78" spans="1:21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P78">
        <f t="shared" si="6"/>
        <v>1.1316263251229666</v>
      </c>
      <c r="Q78">
        <f t="shared" si="7"/>
        <v>0.75613890674284934</v>
      </c>
      <c r="R78">
        <f t="shared" si="8"/>
        <v>1</v>
      </c>
      <c r="S78">
        <f t="shared" si="9"/>
        <v>0</v>
      </c>
      <c r="T78">
        <f t="shared" si="10"/>
        <v>0.75613890674284934</v>
      </c>
      <c r="U78">
        <f t="shared" si="11"/>
        <v>-0.279530180602718</v>
      </c>
    </row>
    <row r="79" spans="1:21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P79">
        <f t="shared" si="6"/>
        <v>0.71488180781279664</v>
      </c>
      <c r="Q79">
        <f t="shared" si="7"/>
        <v>0.67147896215238811</v>
      </c>
      <c r="R79">
        <f t="shared" si="8"/>
        <v>1</v>
      </c>
      <c r="S79">
        <f t="shared" si="9"/>
        <v>0</v>
      </c>
      <c r="T79">
        <f t="shared" si="10"/>
        <v>0.67147896215238811</v>
      </c>
      <c r="U79">
        <f t="shared" si="11"/>
        <v>-0.39827259314121677</v>
      </c>
    </row>
    <row r="80" spans="1:21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P80">
        <f t="shared" si="6"/>
        <v>0.32815001528047272</v>
      </c>
      <c r="Q80">
        <f t="shared" si="7"/>
        <v>0.58130917909622781</v>
      </c>
      <c r="R80">
        <f t="shared" si="8"/>
        <v>1</v>
      </c>
      <c r="S80">
        <f t="shared" si="9"/>
        <v>0</v>
      </c>
      <c r="T80">
        <f t="shared" si="10"/>
        <v>0.58130917909622781</v>
      </c>
      <c r="U80">
        <f t="shared" si="11"/>
        <v>-0.54247251376432692</v>
      </c>
    </row>
    <row r="81" spans="1:21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P81">
        <f t="shared" si="6"/>
        <v>0.18958466681864872</v>
      </c>
      <c r="Q81">
        <f t="shared" si="7"/>
        <v>0.54725471431119455</v>
      </c>
      <c r="R81">
        <f t="shared" si="8"/>
        <v>1</v>
      </c>
      <c r="S81">
        <f t="shared" si="9"/>
        <v>1</v>
      </c>
      <c r="T81">
        <f t="shared" si="10"/>
        <v>0.45274528568880545</v>
      </c>
      <c r="U81">
        <f t="shared" si="11"/>
        <v>-0.79242559488728104</v>
      </c>
    </row>
    <row r="82" spans="1:21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P82">
        <f t="shared" si="6"/>
        <v>0.98581404948806994</v>
      </c>
      <c r="Q82">
        <f t="shared" si="7"/>
        <v>0.72826032633081339</v>
      </c>
      <c r="R82">
        <f t="shared" si="8"/>
        <v>1</v>
      </c>
      <c r="S82">
        <f t="shared" si="9"/>
        <v>0</v>
      </c>
      <c r="T82">
        <f t="shared" si="10"/>
        <v>0.72826032633081339</v>
      </c>
      <c r="U82">
        <f t="shared" si="11"/>
        <v>-0.31709670359216091</v>
      </c>
    </row>
    <row r="83" spans="1:21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P83">
        <f t="shared" si="6"/>
        <v>0.33513542471274393</v>
      </c>
      <c r="Q83">
        <f t="shared" si="7"/>
        <v>0.58300837762025126</v>
      </c>
      <c r="R83">
        <f t="shared" si="8"/>
        <v>1</v>
      </c>
      <c r="S83">
        <f t="shared" si="9"/>
        <v>1</v>
      </c>
      <c r="T83">
        <f t="shared" si="10"/>
        <v>0.41699162237974874</v>
      </c>
      <c r="U83">
        <f t="shared" si="11"/>
        <v>-0.87468914760157657</v>
      </c>
    </row>
    <row r="84" spans="1:21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P84">
        <f t="shared" si="6"/>
        <v>0.13391224816201996</v>
      </c>
      <c r="Q84">
        <f t="shared" si="7"/>
        <v>0.53342812284037211</v>
      </c>
      <c r="R84">
        <f t="shared" si="8"/>
        <v>1</v>
      </c>
      <c r="S84">
        <f t="shared" si="9"/>
        <v>1</v>
      </c>
      <c r="T84">
        <f t="shared" si="10"/>
        <v>0.46657187715962789</v>
      </c>
      <c r="U84">
        <f t="shared" si="11"/>
        <v>-0.7623431930508594</v>
      </c>
    </row>
    <row r="85" spans="1:21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P85">
        <f t="shared" si="6"/>
        <v>0.85563004739244353</v>
      </c>
      <c r="Q85">
        <f t="shared" si="7"/>
        <v>0.70174683816841843</v>
      </c>
      <c r="R85">
        <f t="shared" si="8"/>
        <v>1</v>
      </c>
      <c r="S85">
        <f t="shared" si="9"/>
        <v>0</v>
      </c>
      <c r="T85">
        <f t="shared" si="10"/>
        <v>0.70174683816841843</v>
      </c>
      <c r="U85">
        <f t="shared" si="11"/>
        <v>-0.3541825693884596</v>
      </c>
    </row>
    <row r="86" spans="1:21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P86">
        <f t="shared" si="6"/>
        <v>0.54404139186982581</v>
      </c>
      <c r="Q86">
        <f t="shared" si="7"/>
        <v>0.6327520466615576</v>
      </c>
      <c r="R86">
        <f t="shared" si="8"/>
        <v>1</v>
      </c>
      <c r="S86">
        <f t="shared" si="9"/>
        <v>1</v>
      </c>
      <c r="T86">
        <f t="shared" si="10"/>
        <v>0.3672479533384424</v>
      </c>
      <c r="U86">
        <f t="shared" si="11"/>
        <v>-1.0017180368818892</v>
      </c>
    </row>
    <row r="87" spans="1:21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P87">
        <f t="shared" si="6"/>
        <v>0.2580037728468344</v>
      </c>
      <c r="Q87">
        <f t="shared" si="7"/>
        <v>0.56414551179104444</v>
      </c>
      <c r="R87">
        <f t="shared" si="8"/>
        <v>1</v>
      </c>
      <c r="S87">
        <f t="shared" si="9"/>
        <v>1</v>
      </c>
      <c r="T87">
        <f t="shared" si="10"/>
        <v>0.43585448820895556</v>
      </c>
      <c r="U87">
        <f t="shared" si="11"/>
        <v>-0.83044683397758212</v>
      </c>
    </row>
    <row r="88" spans="1:21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P88">
        <f t="shared" si="6"/>
        <v>0.20329078870289896</v>
      </c>
      <c r="Q88">
        <f t="shared" si="7"/>
        <v>0.55064838776433933</v>
      </c>
      <c r="R88">
        <f t="shared" si="8"/>
        <v>1</v>
      </c>
      <c r="S88">
        <f t="shared" si="9"/>
        <v>1</v>
      </c>
      <c r="T88">
        <f t="shared" si="10"/>
        <v>0.44935161223566067</v>
      </c>
      <c r="U88">
        <f t="shared" si="11"/>
        <v>-0.79994959695571521</v>
      </c>
    </row>
    <row r="89" spans="1:21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P89">
        <f t="shared" si="6"/>
        <v>0.71240670691608099</v>
      </c>
      <c r="Q89">
        <f t="shared" si="7"/>
        <v>0.6709327358006133</v>
      </c>
      <c r="R89">
        <f t="shared" si="8"/>
        <v>1</v>
      </c>
      <c r="S89">
        <f t="shared" si="9"/>
        <v>0</v>
      </c>
      <c r="T89">
        <f t="shared" si="10"/>
        <v>0.6709327358006133</v>
      </c>
      <c r="U89">
        <f t="shared" si="11"/>
        <v>-0.39908639174376681</v>
      </c>
    </row>
    <row r="90" spans="1:21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P90">
        <f t="shared" si="6"/>
        <v>3.0689157845084358E-2</v>
      </c>
      <c r="Q90">
        <f t="shared" si="7"/>
        <v>0.50767168735552137</v>
      </c>
      <c r="R90">
        <f t="shared" si="8"/>
        <v>1</v>
      </c>
      <c r="S90">
        <f t="shared" si="9"/>
        <v>1</v>
      </c>
      <c r="T90">
        <f t="shared" si="10"/>
        <v>0.49232831264447863</v>
      </c>
      <c r="U90">
        <f t="shared" si="11"/>
        <v>-0.70860948291396797</v>
      </c>
    </row>
    <row r="91" spans="1:21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P91">
        <f t="shared" si="6"/>
        <v>0.1718808533468047</v>
      </c>
      <c r="Q91">
        <f t="shared" si="7"/>
        <v>0.54286473575471583</v>
      </c>
      <c r="R91">
        <f t="shared" si="8"/>
        <v>1</v>
      </c>
      <c r="S91">
        <f t="shared" si="9"/>
        <v>1</v>
      </c>
      <c r="T91">
        <f t="shared" si="10"/>
        <v>0.45713526424528417</v>
      </c>
      <c r="U91">
        <f t="shared" si="11"/>
        <v>-0.78277594885101198</v>
      </c>
    </row>
    <row r="92" spans="1:21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P92">
        <f t="shared" si="6"/>
        <v>0.23476035348167656</v>
      </c>
      <c r="Q92">
        <f t="shared" si="7"/>
        <v>0.55842201958149029</v>
      </c>
      <c r="R92">
        <f t="shared" si="8"/>
        <v>1</v>
      </c>
      <c r="S92">
        <f t="shared" si="9"/>
        <v>1</v>
      </c>
      <c r="T92">
        <f t="shared" si="10"/>
        <v>0.44157798041850971</v>
      </c>
      <c r="U92">
        <f t="shared" si="11"/>
        <v>-0.8174006484451839</v>
      </c>
    </row>
    <row r="93" spans="1:21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P93">
        <f t="shared" si="6"/>
        <v>0.14579507106861711</v>
      </c>
      <c r="Q93">
        <f t="shared" si="7"/>
        <v>0.53638434117702505</v>
      </c>
      <c r="R93">
        <f t="shared" si="8"/>
        <v>1</v>
      </c>
      <c r="S93">
        <f t="shared" si="9"/>
        <v>1</v>
      </c>
      <c r="T93">
        <f t="shared" si="10"/>
        <v>0.46361565882297495</v>
      </c>
      <c r="U93">
        <f t="shared" si="11"/>
        <v>-0.76869939150590594</v>
      </c>
    </row>
    <row r="94" spans="1:21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P94">
        <f t="shared" si="6"/>
        <v>0.10130880241902329</v>
      </c>
      <c r="Q94">
        <f t="shared" si="7"/>
        <v>0.5253055607269399</v>
      </c>
      <c r="R94">
        <f t="shared" si="8"/>
        <v>1</v>
      </c>
      <c r="S94">
        <f t="shared" si="9"/>
        <v>1</v>
      </c>
      <c r="T94">
        <f t="shared" si="10"/>
        <v>0.4746944392730601</v>
      </c>
      <c r="U94">
        <f t="shared" si="11"/>
        <v>-0.74508396768547114</v>
      </c>
    </row>
    <row r="95" spans="1:21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P95">
        <f t="shared" si="6"/>
        <v>0.35884379681861367</v>
      </c>
      <c r="Q95">
        <f t="shared" si="7"/>
        <v>0.58876052108657495</v>
      </c>
      <c r="R95">
        <f t="shared" si="8"/>
        <v>1</v>
      </c>
      <c r="S95">
        <f t="shared" si="9"/>
        <v>1</v>
      </c>
      <c r="T95">
        <f t="shared" si="10"/>
        <v>0.41123947891342505</v>
      </c>
      <c r="U95">
        <f t="shared" si="11"/>
        <v>-0.88857956041905073</v>
      </c>
    </row>
    <row r="96" spans="1:21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P96">
        <f t="shared" si="6"/>
        <v>1.1915009666873182</v>
      </c>
      <c r="Q96">
        <f t="shared" si="7"/>
        <v>0.7670094034415802</v>
      </c>
      <c r="R96">
        <f t="shared" si="8"/>
        <v>1</v>
      </c>
      <c r="S96">
        <f t="shared" si="9"/>
        <v>0</v>
      </c>
      <c r="T96">
        <f t="shared" si="10"/>
        <v>0.7670094034415802</v>
      </c>
      <c r="U96">
        <f t="shared" si="11"/>
        <v>-0.26525621766189855</v>
      </c>
    </row>
    <row r="97" spans="1:21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P97">
        <f t="shared" si="6"/>
        <v>0.94246295517279755</v>
      </c>
      <c r="Q97">
        <f t="shared" si="7"/>
        <v>0.71959689430760054</v>
      </c>
      <c r="R97">
        <f t="shared" si="8"/>
        <v>1</v>
      </c>
      <c r="S97">
        <f t="shared" si="9"/>
        <v>1</v>
      </c>
      <c r="T97">
        <f t="shared" si="10"/>
        <v>0.28040310569239946</v>
      </c>
      <c r="U97">
        <f t="shared" si="11"/>
        <v>-1.2715270479472356</v>
      </c>
    </row>
    <row r="98" spans="1:21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P98">
        <f t="shared" si="6"/>
        <v>-4.7222062138471244E-2</v>
      </c>
      <c r="Q98">
        <f t="shared" si="7"/>
        <v>0.4881966777589975</v>
      </c>
      <c r="R98">
        <f t="shared" si="8"/>
        <v>0</v>
      </c>
      <c r="S98">
        <f t="shared" si="9"/>
        <v>0</v>
      </c>
      <c r="T98">
        <f t="shared" si="10"/>
        <v>0.51180332224100256</v>
      </c>
      <c r="U98">
        <f t="shared" si="11"/>
        <v>-0.66981486398989964</v>
      </c>
    </row>
    <row r="99" spans="1:21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P99">
        <f t="shared" si="6"/>
        <v>1.9215105013445255E-2</v>
      </c>
      <c r="Q99">
        <f t="shared" si="7"/>
        <v>0.50480362845452498</v>
      </c>
      <c r="R99">
        <f t="shared" si="8"/>
        <v>1</v>
      </c>
      <c r="S99">
        <f t="shared" si="9"/>
        <v>1</v>
      </c>
      <c r="T99">
        <f t="shared" si="10"/>
        <v>0.49519637154547502</v>
      </c>
      <c r="U99">
        <f t="shared" si="11"/>
        <v>-0.70280088488925141</v>
      </c>
    </row>
    <row r="100" spans="1:21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P100">
        <f t="shared" si="6"/>
        <v>0.73131106881283914</v>
      </c>
      <c r="Q100">
        <f t="shared" si="7"/>
        <v>0.67509291164595808</v>
      </c>
      <c r="R100">
        <f t="shared" si="8"/>
        <v>1</v>
      </c>
      <c r="S100">
        <f t="shared" si="9"/>
        <v>0</v>
      </c>
      <c r="T100">
        <f t="shared" si="10"/>
        <v>0.67509291164595808</v>
      </c>
      <c r="U100">
        <f t="shared" si="11"/>
        <v>-0.39290495069916931</v>
      </c>
    </row>
    <row r="101" spans="1:21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P101">
        <f t="shared" si="6"/>
        <v>0.89374549082228583</v>
      </c>
      <c r="Q101">
        <f t="shared" si="7"/>
        <v>0.70966250521634944</v>
      </c>
      <c r="R101">
        <f t="shared" si="8"/>
        <v>1</v>
      </c>
      <c r="S101">
        <f t="shared" si="9"/>
        <v>0</v>
      </c>
      <c r="T101">
        <f t="shared" si="10"/>
        <v>0.70966250521634944</v>
      </c>
      <c r="U101">
        <f t="shared" si="11"/>
        <v>-0.3429657667246187</v>
      </c>
    </row>
    <row r="102" spans="1:21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P102">
        <f t="shared" si="6"/>
        <v>0.85346749647076747</v>
      </c>
      <c r="Q102">
        <f t="shared" si="7"/>
        <v>0.70129402274298502</v>
      </c>
      <c r="R102">
        <f t="shared" si="8"/>
        <v>1</v>
      </c>
      <c r="S102">
        <f t="shared" si="9"/>
        <v>0</v>
      </c>
      <c r="T102">
        <f t="shared" si="10"/>
        <v>0.70129402274298502</v>
      </c>
      <c r="U102">
        <f t="shared" si="11"/>
        <v>-0.35482804658555422</v>
      </c>
    </row>
    <row r="103" spans="1:21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P103">
        <f t="shared" si="6"/>
        <v>0.2160104239044961</v>
      </c>
      <c r="Q103">
        <f t="shared" si="7"/>
        <v>0.55379359876258327</v>
      </c>
      <c r="R103">
        <f t="shared" si="8"/>
        <v>1</v>
      </c>
      <c r="S103">
        <f t="shared" si="9"/>
        <v>1</v>
      </c>
      <c r="T103">
        <f t="shared" si="10"/>
        <v>0.44620640123741673</v>
      </c>
      <c r="U103">
        <f t="shared" si="11"/>
        <v>-0.80697365096958407</v>
      </c>
    </row>
    <row r="104" spans="1:21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P104">
        <f t="shared" si="6"/>
        <v>0.19090927575815086</v>
      </c>
      <c r="Q104">
        <f t="shared" si="7"/>
        <v>0.54758288809397926</v>
      </c>
      <c r="R104">
        <f t="shared" si="8"/>
        <v>1</v>
      </c>
      <c r="S104">
        <f t="shared" si="9"/>
        <v>1</v>
      </c>
      <c r="T104">
        <f t="shared" si="10"/>
        <v>0.45241711190602074</v>
      </c>
      <c r="U104">
        <f t="shared" si="11"/>
        <v>-0.79315071072955645</v>
      </c>
    </row>
    <row r="105" spans="1:21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P105">
        <f t="shared" si="6"/>
        <v>0.19575302313542597</v>
      </c>
      <c r="Q105">
        <f t="shared" si="7"/>
        <v>0.54878257920876583</v>
      </c>
      <c r="R105">
        <f t="shared" si="8"/>
        <v>1</v>
      </c>
      <c r="S105">
        <f t="shared" si="9"/>
        <v>1</v>
      </c>
      <c r="T105">
        <f t="shared" si="10"/>
        <v>0.45121742079123417</v>
      </c>
      <c r="U105">
        <f t="shared" si="11"/>
        <v>-0.79580596963398109</v>
      </c>
    </row>
    <row r="106" spans="1:21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P106">
        <f t="shared" si="6"/>
        <v>-3.1411864106627219E-2</v>
      </c>
      <c r="Q106">
        <f t="shared" si="7"/>
        <v>0.49214767962317552</v>
      </c>
      <c r="R106">
        <f t="shared" si="8"/>
        <v>0</v>
      </c>
      <c r="S106">
        <f t="shared" si="9"/>
        <v>0</v>
      </c>
      <c r="T106">
        <f t="shared" si="10"/>
        <v>0.50785232037682448</v>
      </c>
      <c r="U106">
        <f t="shared" si="11"/>
        <v>-0.67756458158703037</v>
      </c>
    </row>
    <row r="107" spans="1:21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P107">
        <f t="shared" si="6"/>
        <v>0.28983345234317681</v>
      </c>
      <c r="Q107">
        <f t="shared" si="7"/>
        <v>0.57195535881880555</v>
      </c>
      <c r="R107">
        <f t="shared" si="8"/>
        <v>1</v>
      </c>
      <c r="S107">
        <f t="shared" si="9"/>
        <v>1</v>
      </c>
      <c r="T107">
        <f t="shared" si="10"/>
        <v>0.42804464118119445</v>
      </c>
      <c r="U107">
        <f t="shared" si="11"/>
        <v>-0.84852778701417675</v>
      </c>
    </row>
    <row r="108" spans="1:21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P108">
        <f t="shared" si="6"/>
        <v>0.11585943531733534</v>
      </c>
      <c r="Q108">
        <f t="shared" si="7"/>
        <v>0.52893250166802075</v>
      </c>
      <c r="R108">
        <f t="shared" si="8"/>
        <v>1</v>
      </c>
      <c r="S108">
        <f t="shared" si="9"/>
        <v>1</v>
      </c>
      <c r="T108">
        <f t="shared" si="10"/>
        <v>0.47106749833197925</v>
      </c>
      <c r="U108">
        <f t="shared" si="11"/>
        <v>-0.75275388667294463</v>
      </c>
    </row>
    <row r="109" spans="1:21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P109">
        <f t="shared" si="6"/>
        <v>0.94667620039061073</v>
      </c>
      <c r="Q109">
        <f t="shared" si="7"/>
        <v>0.72044624405941982</v>
      </c>
      <c r="R109">
        <f t="shared" si="8"/>
        <v>1</v>
      </c>
      <c r="S109">
        <f t="shared" si="9"/>
        <v>0</v>
      </c>
      <c r="T109">
        <f t="shared" si="10"/>
        <v>0.72044624405941982</v>
      </c>
      <c r="U109">
        <f t="shared" si="11"/>
        <v>-0.32788447554259392</v>
      </c>
    </row>
    <row r="110" spans="1:21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P110">
        <f t="shared" si="6"/>
        <v>0.27494843836510785</v>
      </c>
      <c r="Q110">
        <f t="shared" si="7"/>
        <v>0.56830733369509223</v>
      </c>
      <c r="R110">
        <f t="shared" si="8"/>
        <v>1</v>
      </c>
      <c r="S110">
        <f t="shared" si="9"/>
        <v>1</v>
      </c>
      <c r="T110">
        <f t="shared" si="10"/>
        <v>0.43169266630490777</v>
      </c>
      <c r="U110">
        <f t="shared" si="11"/>
        <v>-0.84004136450823164</v>
      </c>
    </row>
    <row r="111" spans="1:21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P111">
        <f t="shared" si="6"/>
        <v>0.71803941867943466</v>
      </c>
      <c r="Q111">
        <f t="shared" si="7"/>
        <v>0.67217513768039427</v>
      </c>
      <c r="R111">
        <f t="shared" si="8"/>
        <v>1</v>
      </c>
      <c r="S111">
        <f t="shared" si="9"/>
        <v>0</v>
      </c>
      <c r="T111">
        <f t="shared" si="10"/>
        <v>0.67217513768039427</v>
      </c>
      <c r="U111">
        <f t="shared" si="11"/>
        <v>-0.3972363508666778</v>
      </c>
    </row>
    <row r="112" spans="1:21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P112">
        <f t="shared" si="6"/>
        <v>0.66663574782306323</v>
      </c>
      <c r="Q112">
        <f t="shared" si="7"/>
        <v>0.66074943804408837</v>
      </c>
      <c r="R112">
        <f t="shared" si="8"/>
        <v>1</v>
      </c>
      <c r="S112">
        <f t="shared" si="9"/>
        <v>0</v>
      </c>
      <c r="T112">
        <f t="shared" si="10"/>
        <v>0.66074943804408837</v>
      </c>
      <c r="U112">
        <f t="shared" si="11"/>
        <v>-0.41438057597999439</v>
      </c>
    </row>
    <row r="113" spans="1:21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P113">
        <f t="shared" si="6"/>
        <v>0.93786799314167879</v>
      </c>
      <c r="Q113">
        <f t="shared" si="7"/>
        <v>0.71866880086654084</v>
      </c>
      <c r="R113">
        <f t="shared" si="8"/>
        <v>1</v>
      </c>
      <c r="S113">
        <f t="shared" si="9"/>
        <v>0</v>
      </c>
      <c r="T113">
        <f t="shared" si="10"/>
        <v>0.71866880086654084</v>
      </c>
      <c r="U113">
        <f t="shared" si="11"/>
        <v>-0.33035466595989527</v>
      </c>
    </row>
    <row r="114" spans="1:21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P114">
        <f t="shared" si="6"/>
        <v>0.59028618969253521</v>
      </c>
      <c r="Q114">
        <f t="shared" si="7"/>
        <v>0.64343080820453125</v>
      </c>
      <c r="R114">
        <f t="shared" si="8"/>
        <v>1</v>
      </c>
      <c r="S114">
        <f t="shared" si="9"/>
        <v>0</v>
      </c>
      <c r="T114">
        <f t="shared" si="10"/>
        <v>0.64343080820453125</v>
      </c>
      <c r="U114">
        <f t="shared" si="11"/>
        <v>-0.44094078188477498</v>
      </c>
    </row>
    <row r="115" spans="1:21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P115">
        <f t="shared" si="6"/>
        <v>0.68430735205072002</v>
      </c>
      <c r="Q115">
        <f t="shared" si="7"/>
        <v>0.66469937472146645</v>
      </c>
      <c r="R115">
        <f t="shared" si="8"/>
        <v>1</v>
      </c>
      <c r="S115">
        <f t="shared" si="9"/>
        <v>0</v>
      </c>
      <c r="T115">
        <f t="shared" si="10"/>
        <v>0.66469937472146645</v>
      </c>
      <c r="U115">
        <f t="shared" si="11"/>
        <v>-0.40842040862788753</v>
      </c>
    </row>
    <row r="116" spans="1:21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P116">
        <f t="shared" si="6"/>
        <v>0.58703637746973014</v>
      </c>
      <c r="Q116">
        <f t="shared" si="7"/>
        <v>0.64268486453007723</v>
      </c>
      <c r="R116">
        <f t="shared" si="8"/>
        <v>1</v>
      </c>
      <c r="S116">
        <f t="shared" si="9"/>
        <v>0</v>
      </c>
      <c r="T116">
        <f t="shared" si="10"/>
        <v>0.64268486453007723</v>
      </c>
      <c r="U116">
        <f t="shared" si="11"/>
        <v>-0.44210077670314513</v>
      </c>
    </row>
    <row r="117" spans="1:21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P117">
        <f t="shared" si="6"/>
        <v>0.14878649582279824</v>
      </c>
      <c r="Q117">
        <f t="shared" si="7"/>
        <v>0.53712815574459438</v>
      </c>
      <c r="R117">
        <f t="shared" si="8"/>
        <v>1</v>
      </c>
      <c r="S117">
        <f t="shared" si="9"/>
        <v>1</v>
      </c>
      <c r="T117">
        <f t="shared" si="10"/>
        <v>0.46287184425540562</v>
      </c>
      <c r="U117">
        <f t="shared" si="11"/>
        <v>-0.77030505747528855</v>
      </c>
    </row>
    <row r="118" spans="1:21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P118">
        <f t="shared" si="6"/>
        <v>0.68359109292025566</v>
      </c>
      <c r="Q118">
        <f t="shared" si="7"/>
        <v>0.66453972027376196</v>
      </c>
      <c r="R118">
        <f t="shared" si="8"/>
        <v>1</v>
      </c>
      <c r="S118">
        <f t="shared" si="9"/>
        <v>0</v>
      </c>
      <c r="T118">
        <f t="shared" si="10"/>
        <v>0.66453972027376196</v>
      </c>
      <c r="U118">
        <f t="shared" si="11"/>
        <v>-0.40866062793692437</v>
      </c>
    </row>
    <row r="119" spans="1:21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P119">
        <f t="shared" si="6"/>
        <v>0.63095717963128928</v>
      </c>
      <c r="Q119">
        <f t="shared" si="7"/>
        <v>0.65270646807736021</v>
      </c>
      <c r="R119">
        <f t="shared" si="8"/>
        <v>1</v>
      </c>
      <c r="S119">
        <f t="shared" si="9"/>
        <v>0</v>
      </c>
      <c r="T119">
        <f t="shared" si="10"/>
        <v>0.65270646807736021</v>
      </c>
      <c r="U119">
        <f t="shared" si="11"/>
        <v>-0.42662776366529198</v>
      </c>
    </row>
    <row r="120" spans="1:21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P120">
        <f t="shared" si="6"/>
        <v>0.37441213610859014</v>
      </c>
      <c r="Q120">
        <f t="shared" si="7"/>
        <v>0.59252467429914046</v>
      </c>
      <c r="R120">
        <f t="shared" si="8"/>
        <v>1</v>
      </c>
      <c r="S120">
        <f t="shared" si="9"/>
        <v>1</v>
      </c>
      <c r="T120">
        <f t="shared" si="10"/>
        <v>0.40747532570085954</v>
      </c>
      <c r="U120">
        <f t="shared" si="11"/>
        <v>-0.89777489856180936</v>
      </c>
    </row>
    <row r="121" spans="1:21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P121">
        <f t="shared" si="6"/>
        <v>8.7323053194826472E-2</v>
      </c>
      <c r="Q121">
        <f t="shared" si="7"/>
        <v>0.5218169016635148</v>
      </c>
      <c r="R121">
        <f t="shared" si="8"/>
        <v>1</v>
      </c>
      <c r="S121">
        <f t="shared" si="9"/>
        <v>1</v>
      </c>
      <c r="T121">
        <f t="shared" si="10"/>
        <v>0.4781830983364852</v>
      </c>
      <c r="U121">
        <f t="shared" si="11"/>
        <v>-0.73776156892280376</v>
      </c>
    </row>
    <row r="122" spans="1:21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P122">
        <f t="shared" si="6"/>
        <v>7.2110471542644827E-2</v>
      </c>
      <c r="Q122">
        <f t="shared" si="7"/>
        <v>0.51801981009789766</v>
      </c>
      <c r="R122">
        <f t="shared" si="8"/>
        <v>1</v>
      </c>
      <c r="S122">
        <f t="shared" si="9"/>
        <v>1</v>
      </c>
      <c r="T122">
        <f t="shared" si="10"/>
        <v>0.48198018990210234</v>
      </c>
      <c r="U122">
        <f t="shared" si="11"/>
        <v>-0.72985226556432559</v>
      </c>
    </row>
    <row r="123" spans="1:21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P123">
        <f t="shared" si="6"/>
        <v>1.1366953017254424</v>
      </c>
      <c r="Q123">
        <f t="shared" si="7"/>
        <v>0.75707237585844933</v>
      </c>
      <c r="R123">
        <f t="shared" si="8"/>
        <v>1</v>
      </c>
      <c r="S123">
        <f t="shared" si="9"/>
        <v>0</v>
      </c>
      <c r="T123">
        <f t="shared" si="10"/>
        <v>0.75707237585844933</v>
      </c>
      <c r="U123">
        <f t="shared" si="11"/>
        <v>-0.27829642131907995</v>
      </c>
    </row>
    <row r="124" spans="1:21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P124">
        <f t="shared" si="6"/>
        <v>0.90162884205567806</v>
      </c>
      <c r="Q124">
        <f t="shared" si="7"/>
        <v>0.71128411512007883</v>
      </c>
      <c r="R124">
        <f t="shared" si="8"/>
        <v>1</v>
      </c>
      <c r="S124">
        <f t="shared" si="9"/>
        <v>0</v>
      </c>
      <c r="T124">
        <f t="shared" si="10"/>
        <v>0.71128411512007883</v>
      </c>
      <c r="U124">
        <f t="shared" si="11"/>
        <v>-0.34068332967243814</v>
      </c>
    </row>
    <row r="125" spans="1:21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P125">
        <f t="shared" si="6"/>
        <v>0.88001512883505295</v>
      </c>
      <c r="Q125">
        <f t="shared" si="7"/>
        <v>0.70682535615007924</v>
      </c>
      <c r="R125">
        <f t="shared" si="8"/>
        <v>1</v>
      </c>
      <c r="S125">
        <f t="shared" si="9"/>
        <v>0</v>
      </c>
      <c r="T125">
        <f t="shared" si="10"/>
        <v>0.70682535615007924</v>
      </c>
      <c r="U125">
        <f t="shared" si="11"/>
        <v>-0.34697166460440904</v>
      </c>
    </row>
    <row r="126" spans="1:21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P126">
        <f t="shared" si="6"/>
        <v>1.0991393915986722</v>
      </c>
      <c r="Q126">
        <f t="shared" si="7"/>
        <v>0.75009881877527607</v>
      </c>
      <c r="R126">
        <f t="shared" si="8"/>
        <v>1</v>
      </c>
      <c r="S126">
        <f t="shared" si="9"/>
        <v>0</v>
      </c>
      <c r="T126">
        <f t="shared" si="10"/>
        <v>0.75009881877527607</v>
      </c>
      <c r="U126">
        <f t="shared" si="11"/>
        <v>-0.28755032276411746</v>
      </c>
    </row>
    <row r="127" spans="1:21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P127">
        <f t="shared" si="6"/>
        <v>0.33977789509174572</v>
      </c>
      <c r="Q127">
        <f t="shared" si="7"/>
        <v>0.58413656998908858</v>
      </c>
      <c r="R127">
        <f t="shared" si="8"/>
        <v>1</v>
      </c>
      <c r="S127">
        <f t="shared" si="9"/>
        <v>1</v>
      </c>
      <c r="T127">
        <f t="shared" si="10"/>
        <v>0.41586343001091142</v>
      </c>
      <c r="U127">
        <f t="shared" si="11"/>
        <v>-0.87739836586389885</v>
      </c>
    </row>
    <row r="128" spans="1:21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P128">
        <f t="shared" si="6"/>
        <v>1.0315516785427996</v>
      </c>
      <c r="Q128">
        <f t="shared" si="7"/>
        <v>0.73721661047607612</v>
      </c>
      <c r="R128">
        <f t="shared" si="8"/>
        <v>1</v>
      </c>
      <c r="S128">
        <f t="shared" si="9"/>
        <v>0</v>
      </c>
      <c r="T128">
        <f t="shared" si="10"/>
        <v>0.73721661047607612</v>
      </c>
      <c r="U128">
        <f t="shared" si="11"/>
        <v>-0.30487352159538555</v>
      </c>
    </row>
    <row r="129" spans="1:21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P129">
        <f t="shared" si="6"/>
        <v>0.16012144986738552</v>
      </c>
      <c r="Q129">
        <f t="shared" si="7"/>
        <v>0.53994505338243992</v>
      </c>
      <c r="R129">
        <f t="shared" si="8"/>
        <v>1</v>
      </c>
      <c r="S129">
        <f t="shared" si="9"/>
        <v>0</v>
      </c>
      <c r="T129">
        <f t="shared" si="10"/>
        <v>0.53994505338243992</v>
      </c>
      <c r="U129">
        <f t="shared" si="11"/>
        <v>-0.61628789759648583</v>
      </c>
    </row>
    <row r="130" spans="1:21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P130">
        <f t="shared" si="6"/>
        <v>1.4103338848723834E-2</v>
      </c>
      <c r="Q130">
        <f t="shared" si="7"/>
        <v>0.50352577627140871</v>
      </c>
      <c r="R130">
        <f t="shared" si="8"/>
        <v>1</v>
      </c>
      <c r="S130">
        <f t="shared" si="9"/>
        <v>1</v>
      </c>
      <c r="T130">
        <f t="shared" si="10"/>
        <v>0.49647422372859129</v>
      </c>
      <c r="U130">
        <f t="shared" si="11"/>
        <v>-0.70022371279908846</v>
      </c>
    </row>
    <row r="131" spans="1:21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P131">
        <f t="shared" si="6"/>
        <v>1.1818133051791961</v>
      </c>
      <c r="Q131">
        <f t="shared" si="7"/>
        <v>0.76527368420826392</v>
      </c>
      <c r="R131">
        <f t="shared" si="8"/>
        <v>1</v>
      </c>
      <c r="S131">
        <f t="shared" si="9"/>
        <v>0</v>
      </c>
      <c r="T131">
        <f t="shared" si="10"/>
        <v>0.76527368420826392</v>
      </c>
      <c r="U131">
        <f t="shared" si="11"/>
        <v>-0.26752175200044048</v>
      </c>
    </row>
    <row r="132" spans="1:21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P132">
        <f t="shared" si="6"/>
        <v>0.92847510395803157</v>
      </c>
      <c r="Q132">
        <f t="shared" si="7"/>
        <v>0.71676581476497103</v>
      </c>
      <c r="R132">
        <f t="shared" si="8"/>
        <v>1</v>
      </c>
      <c r="S132">
        <f t="shared" si="9"/>
        <v>0</v>
      </c>
      <c r="T132">
        <f t="shared" si="10"/>
        <v>0.71676581476497103</v>
      </c>
      <c r="U132">
        <f t="shared" si="11"/>
        <v>-0.33300610991380847</v>
      </c>
    </row>
    <row r="133" spans="1:21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P133">
        <f t="shared" si="6"/>
        <v>2.017195276449224E-3</v>
      </c>
      <c r="Q133">
        <f t="shared" si="7"/>
        <v>0.50050429864810986</v>
      </c>
      <c r="R133">
        <f t="shared" si="8"/>
        <v>1</v>
      </c>
      <c r="S133">
        <f t="shared" si="9"/>
        <v>1</v>
      </c>
      <c r="T133">
        <f t="shared" si="10"/>
        <v>0.49949570135189014</v>
      </c>
      <c r="U133">
        <f t="shared" si="11"/>
        <v>-0.69415628683268171</v>
      </c>
    </row>
    <row r="134" spans="1:21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P134">
        <f t="shared" si="6"/>
        <v>2.2768320591903701E-2</v>
      </c>
      <c r="Q134">
        <f t="shared" si="7"/>
        <v>0.50569183426455699</v>
      </c>
      <c r="R134">
        <f t="shared" si="8"/>
        <v>1</v>
      </c>
      <c r="S134">
        <f t="shared" si="9"/>
        <v>1</v>
      </c>
      <c r="T134">
        <f t="shared" si="10"/>
        <v>0.49430816573544301</v>
      </c>
      <c r="U134">
        <f t="shared" si="11"/>
        <v>-0.70459613900910689</v>
      </c>
    </row>
    <row r="135" spans="1:21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P135">
        <f t="shared" ref="P135:P198" si="12">SUMPRODUCT($A$3:$M$3,A135:M135)+$N$3</f>
        <v>0.52820289763445871</v>
      </c>
      <c r="Q135">
        <f t="shared" ref="Q135:Q198" si="13">1/(1+EXP(-P135))</f>
        <v>0.62906386892926258</v>
      </c>
      <c r="R135">
        <f t="shared" ref="R135:R198" si="14">IF(Q135&gt;=0.5,1,0)</f>
        <v>1</v>
      </c>
      <c r="S135">
        <f t="shared" ref="S135:S198" si="15">IF(R135=N135,0,1)</f>
        <v>1</v>
      </c>
      <c r="T135">
        <f t="shared" ref="T135:T198" si="16">IF(N135=1,Q135,1-Q135)</f>
        <v>0.37093613107073742</v>
      </c>
      <c r="U135">
        <f t="shared" ref="U135:U198" si="17">IF(T135=0,-1000000,LN(T135))</f>
        <v>-0.99172538464295479</v>
      </c>
    </row>
    <row r="136" spans="1:21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P136">
        <f t="shared" si="12"/>
        <v>0.58559231921378196</v>
      </c>
      <c r="Q136">
        <f t="shared" si="13"/>
        <v>0.64235318122148455</v>
      </c>
      <c r="R136">
        <f t="shared" si="14"/>
        <v>1</v>
      </c>
      <c r="S136">
        <f t="shared" si="15"/>
        <v>1</v>
      </c>
      <c r="T136">
        <f t="shared" si="16"/>
        <v>0.35764681877851545</v>
      </c>
      <c r="U136">
        <f t="shared" si="17"/>
        <v>-1.0282093192568587</v>
      </c>
    </row>
    <row r="137" spans="1:21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P137">
        <f t="shared" si="12"/>
        <v>1.7400788030485337E-2</v>
      </c>
      <c r="Q137">
        <f t="shared" si="13"/>
        <v>0.50435008724553265</v>
      </c>
      <c r="R137">
        <f t="shared" si="14"/>
        <v>1</v>
      </c>
      <c r="S137">
        <f t="shared" si="15"/>
        <v>1</v>
      </c>
      <c r="T137">
        <f t="shared" si="16"/>
        <v>0.49564991275446735</v>
      </c>
      <c r="U137">
        <f t="shared" si="17"/>
        <v>-0.70188542252570674</v>
      </c>
    </row>
    <row r="138" spans="1:21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P138">
        <f t="shared" si="12"/>
        <v>0.37426991604490212</v>
      </c>
      <c r="Q138">
        <f t="shared" si="13"/>
        <v>0.5924903363511328</v>
      </c>
      <c r="R138">
        <f t="shared" si="14"/>
        <v>1</v>
      </c>
      <c r="S138">
        <f t="shared" si="15"/>
        <v>1</v>
      </c>
      <c r="T138">
        <f t="shared" si="16"/>
        <v>0.4075096636488672</v>
      </c>
      <c r="U138">
        <f t="shared" si="17"/>
        <v>-0.89769063210665567</v>
      </c>
    </row>
    <row r="139" spans="1:21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P139">
        <f t="shared" si="12"/>
        <v>2.2756032490324762E-2</v>
      </c>
      <c r="Q139">
        <f t="shared" si="13"/>
        <v>0.50568876263704476</v>
      </c>
      <c r="R139">
        <f t="shared" si="14"/>
        <v>1</v>
      </c>
      <c r="S139">
        <f t="shared" si="15"/>
        <v>1</v>
      </c>
      <c r="T139">
        <f t="shared" si="16"/>
        <v>0.49431123736295524</v>
      </c>
      <c r="U139">
        <f t="shared" si="17"/>
        <v>-0.704589925035352</v>
      </c>
    </row>
    <row r="140" spans="1:21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P140">
        <f t="shared" si="12"/>
        <v>8.0889717603784717E-2</v>
      </c>
      <c r="Q140">
        <f t="shared" si="13"/>
        <v>0.52021141008462191</v>
      </c>
      <c r="R140">
        <f t="shared" si="14"/>
        <v>1</v>
      </c>
      <c r="S140">
        <f t="shared" si="15"/>
        <v>1</v>
      </c>
      <c r="T140">
        <f t="shared" si="16"/>
        <v>0.47978858991537809</v>
      </c>
      <c r="U140">
        <f t="shared" si="17"/>
        <v>-0.73440970977765829</v>
      </c>
    </row>
    <row r="141" spans="1:21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P141">
        <f t="shared" si="12"/>
        <v>0.87449794781342083</v>
      </c>
      <c r="Q141">
        <f t="shared" si="13"/>
        <v>0.70568076466439156</v>
      </c>
      <c r="R141">
        <f t="shared" si="14"/>
        <v>1</v>
      </c>
      <c r="S141">
        <f t="shared" si="15"/>
        <v>0</v>
      </c>
      <c r="T141">
        <f t="shared" si="16"/>
        <v>0.70568076466439156</v>
      </c>
      <c r="U141">
        <f t="shared" si="17"/>
        <v>-0.3485923184470302</v>
      </c>
    </row>
    <row r="142" spans="1:21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P142">
        <f t="shared" si="12"/>
        <v>0.73495606769928823</v>
      </c>
      <c r="Q142">
        <f t="shared" si="13"/>
        <v>0.67589190390097453</v>
      </c>
      <c r="R142">
        <f t="shared" si="14"/>
        <v>1</v>
      </c>
      <c r="S142">
        <f t="shared" si="15"/>
        <v>0</v>
      </c>
      <c r="T142">
        <f t="shared" si="16"/>
        <v>0.67589190390097453</v>
      </c>
      <c r="U142">
        <f t="shared" si="17"/>
        <v>-0.39172212119734717</v>
      </c>
    </row>
    <row r="143" spans="1:21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P143">
        <f t="shared" si="12"/>
        <v>0.76600471716058072</v>
      </c>
      <c r="Q143">
        <f t="shared" si="13"/>
        <v>0.6826560008221535</v>
      </c>
      <c r="R143">
        <f t="shared" si="14"/>
        <v>1</v>
      </c>
      <c r="S143">
        <f t="shared" si="15"/>
        <v>0</v>
      </c>
      <c r="T143">
        <f t="shared" si="16"/>
        <v>0.6826560008221535</v>
      </c>
      <c r="U143">
        <f t="shared" si="17"/>
        <v>-0.3817642054085747</v>
      </c>
    </row>
    <row r="144" spans="1:21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P144">
        <f t="shared" si="12"/>
        <v>0.21218014576876154</v>
      </c>
      <c r="Q144">
        <f t="shared" si="13"/>
        <v>0.55284691920019269</v>
      </c>
      <c r="R144">
        <f t="shared" si="14"/>
        <v>1</v>
      </c>
      <c r="S144">
        <f t="shared" si="15"/>
        <v>1</v>
      </c>
      <c r="T144">
        <f t="shared" si="16"/>
        <v>0.44715308079980731</v>
      </c>
      <c r="U144">
        <f t="shared" si="17"/>
        <v>-0.80485428035612328</v>
      </c>
    </row>
    <row r="145" spans="1:21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P145">
        <f t="shared" si="12"/>
        <v>0.17718274248342647</v>
      </c>
      <c r="Q145">
        <f t="shared" si="13"/>
        <v>0.54418016439320249</v>
      </c>
      <c r="R145">
        <f t="shared" si="14"/>
        <v>1</v>
      </c>
      <c r="S145">
        <f t="shared" si="15"/>
        <v>1</v>
      </c>
      <c r="T145">
        <f t="shared" si="16"/>
        <v>0.45581983560679751</v>
      </c>
      <c r="U145">
        <f t="shared" si="17"/>
        <v>-0.78565764489278922</v>
      </c>
    </row>
    <row r="146" spans="1:21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P146">
        <f t="shared" si="12"/>
        <v>0.43599112808436613</v>
      </c>
      <c r="Q146">
        <f t="shared" si="13"/>
        <v>0.60730338334971246</v>
      </c>
      <c r="R146">
        <f t="shared" si="14"/>
        <v>1</v>
      </c>
      <c r="S146">
        <f t="shared" si="15"/>
        <v>0</v>
      </c>
      <c r="T146">
        <f t="shared" si="16"/>
        <v>0.60730338334971246</v>
      </c>
      <c r="U146">
        <f t="shared" si="17"/>
        <v>-0.49872680496006971</v>
      </c>
    </row>
    <row r="147" spans="1:21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P147">
        <f t="shared" si="12"/>
        <v>-0.13104755782492949</v>
      </c>
      <c r="Q147">
        <f t="shared" si="13"/>
        <v>0.46728491641994169</v>
      </c>
      <c r="R147">
        <f t="shared" si="14"/>
        <v>0</v>
      </c>
      <c r="S147">
        <f t="shared" si="15"/>
        <v>0</v>
      </c>
      <c r="T147">
        <f t="shared" si="16"/>
        <v>0.53271508358005826</v>
      </c>
      <c r="U147">
        <f t="shared" si="17"/>
        <v>-0.62976855012298316</v>
      </c>
    </row>
    <row r="148" spans="1:21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P148">
        <f t="shared" si="12"/>
        <v>0.70155760776954545</v>
      </c>
      <c r="Q148">
        <f t="shared" si="13"/>
        <v>0.66853302334676168</v>
      </c>
      <c r="R148">
        <f t="shared" si="14"/>
        <v>1</v>
      </c>
      <c r="S148">
        <f t="shared" si="15"/>
        <v>0</v>
      </c>
      <c r="T148">
        <f t="shared" si="16"/>
        <v>0.66853302334676168</v>
      </c>
      <c r="U148">
        <f t="shared" si="17"/>
        <v>-0.40266948448781975</v>
      </c>
    </row>
    <row r="149" spans="1:21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P149">
        <f t="shared" si="12"/>
        <v>0.60771459399739847</v>
      </c>
      <c r="Q149">
        <f t="shared" si="13"/>
        <v>0.64741929397746933</v>
      </c>
      <c r="R149">
        <f t="shared" si="14"/>
        <v>1</v>
      </c>
      <c r="S149">
        <f t="shared" si="15"/>
        <v>1</v>
      </c>
      <c r="T149">
        <f t="shared" si="16"/>
        <v>0.35258070602253067</v>
      </c>
      <c r="U149">
        <f t="shared" si="17"/>
        <v>-1.0424757296802043</v>
      </c>
    </row>
    <row r="150" spans="1:21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P150">
        <f t="shared" si="12"/>
        <v>0.11089591377121921</v>
      </c>
      <c r="Q150">
        <f t="shared" si="13"/>
        <v>0.52769560110573444</v>
      </c>
      <c r="R150">
        <f t="shared" si="14"/>
        <v>1</v>
      </c>
      <c r="S150">
        <f t="shared" si="15"/>
        <v>0</v>
      </c>
      <c r="T150">
        <f t="shared" si="16"/>
        <v>0.52769560110573444</v>
      </c>
      <c r="U150">
        <f t="shared" si="17"/>
        <v>-0.63923567458074837</v>
      </c>
    </row>
    <row r="151" spans="1:21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P151">
        <f t="shared" si="12"/>
        <v>1.1256284196756017</v>
      </c>
      <c r="Q151">
        <f t="shared" si="13"/>
        <v>0.75503123741236455</v>
      </c>
      <c r="R151">
        <f t="shared" si="14"/>
        <v>1</v>
      </c>
      <c r="S151">
        <f t="shared" si="15"/>
        <v>0</v>
      </c>
      <c r="T151">
        <f t="shared" si="16"/>
        <v>0.75503123741236455</v>
      </c>
      <c r="U151">
        <f t="shared" si="17"/>
        <v>-0.28099615653288301</v>
      </c>
    </row>
    <row r="152" spans="1:21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P152">
        <f t="shared" si="12"/>
        <v>5.838685717460379E-2</v>
      </c>
      <c r="Q152">
        <f t="shared" si="13"/>
        <v>0.5145925689930162</v>
      </c>
      <c r="R152">
        <f t="shared" si="14"/>
        <v>1</v>
      </c>
      <c r="S152">
        <f t="shared" si="15"/>
        <v>1</v>
      </c>
      <c r="T152">
        <f t="shared" si="16"/>
        <v>0.4854074310069838</v>
      </c>
      <c r="U152">
        <f t="shared" si="17"/>
        <v>-0.72276667676894468</v>
      </c>
    </row>
    <row r="153" spans="1:21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P153">
        <f t="shared" si="12"/>
        <v>0.11442489674322109</v>
      </c>
      <c r="Q153">
        <f t="shared" si="13"/>
        <v>0.52857505308736041</v>
      </c>
      <c r="R153">
        <f t="shared" si="14"/>
        <v>1</v>
      </c>
      <c r="S153">
        <f t="shared" si="15"/>
        <v>1</v>
      </c>
      <c r="T153">
        <f t="shared" si="16"/>
        <v>0.47142494691263959</v>
      </c>
      <c r="U153">
        <f t="shared" si="17"/>
        <v>-0.75199536897956254</v>
      </c>
    </row>
    <row r="154" spans="1:21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P154">
        <f t="shared" si="12"/>
        <v>8.5226953017862428E-2</v>
      </c>
      <c r="Q154">
        <f t="shared" si="13"/>
        <v>0.52129385058733024</v>
      </c>
      <c r="R154">
        <f t="shared" si="14"/>
        <v>1</v>
      </c>
      <c r="S154">
        <f t="shared" si="15"/>
        <v>1</v>
      </c>
      <c r="T154">
        <f t="shared" si="16"/>
        <v>0.47870614941266976</v>
      </c>
      <c r="U154">
        <f t="shared" si="17"/>
        <v>-0.73666833659835473</v>
      </c>
    </row>
    <row r="155" spans="1:21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P155">
        <f t="shared" si="12"/>
        <v>0.2286630486496336</v>
      </c>
      <c r="Q155">
        <f t="shared" si="13"/>
        <v>0.55691797317496594</v>
      </c>
      <c r="R155">
        <f t="shared" si="14"/>
        <v>1</v>
      </c>
      <c r="S155">
        <f t="shared" si="15"/>
        <v>1</v>
      </c>
      <c r="T155">
        <f t="shared" si="16"/>
        <v>0.44308202682503406</v>
      </c>
      <c r="U155">
        <f t="shared" si="17"/>
        <v>-0.81400036394413366</v>
      </c>
    </row>
    <row r="156" spans="1:21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P156">
        <f t="shared" si="12"/>
        <v>0.27369175874775187</v>
      </c>
      <c r="Q156">
        <f t="shared" si="13"/>
        <v>0.56799900089507727</v>
      </c>
      <c r="R156">
        <f t="shared" si="14"/>
        <v>1</v>
      </c>
      <c r="S156">
        <f t="shared" si="15"/>
        <v>1</v>
      </c>
      <c r="T156">
        <f t="shared" si="16"/>
        <v>0.43200099910492273</v>
      </c>
      <c r="U156">
        <f t="shared" si="17"/>
        <v>-0.83932737799782442</v>
      </c>
    </row>
    <row r="157" spans="1:21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P157">
        <f t="shared" si="12"/>
        <v>0.46923570660457858</v>
      </c>
      <c r="Q157">
        <f t="shared" si="13"/>
        <v>0.61520284244914836</v>
      </c>
      <c r="R157">
        <f t="shared" si="14"/>
        <v>1</v>
      </c>
      <c r="S157">
        <f t="shared" si="15"/>
        <v>1</v>
      </c>
      <c r="T157">
        <f t="shared" si="16"/>
        <v>0.38479715755085164</v>
      </c>
      <c r="U157">
        <f t="shared" si="17"/>
        <v>-0.95503894703997949</v>
      </c>
    </row>
    <row r="158" spans="1:21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P158">
        <f t="shared" si="12"/>
        <v>1.0023621542186558</v>
      </c>
      <c r="Q158">
        <f t="shared" si="13"/>
        <v>0.73152275277732604</v>
      </c>
      <c r="R158">
        <f t="shared" si="14"/>
        <v>1</v>
      </c>
      <c r="S158">
        <f t="shared" si="15"/>
        <v>0</v>
      </c>
      <c r="T158">
        <f t="shared" si="16"/>
        <v>0.73152275277732604</v>
      </c>
      <c r="U158">
        <f t="shared" si="17"/>
        <v>-0.31262695473046243</v>
      </c>
    </row>
    <row r="159" spans="1:21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P159">
        <f t="shared" si="12"/>
        <v>0.88322347653096356</v>
      </c>
      <c r="Q159">
        <f t="shared" si="13"/>
        <v>0.70748975901134348</v>
      </c>
      <c r="R159">
        <f t="shared" si="14"/>
        <v>1</v>
      </c>
      <c r="S159">
        <f t="shared" si="15"/>
        <v>0</v>
      </c>
      <c r="T159">
        <f t="shared" si="16"/>
        <v>0.70748975901134348</v>
      </c>
      <c r="U159">
        <f t="shared" si="17"/>
        <v>-0.34603212446513426</v>
      </c>
    </row>
    <row r="160" spans="1:21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P160">
        <f t="shared" si="12"/>
        <v>0.98714316941250446</v>
      </c>
      <c r="Q160">
        <f t="shared" si="13"/>
        <v>0.72852327565977237</v>
      </c>
      <c r="R160">
        <f t="shared" si="14"/>
        <v>1</v>
      </c>
      <c r="S160">
        <f t="shared" si="15"/>
        <v>0</v>
      </c>
      <c r="T160">
        <f t="shared" si="16"/>
        <v>0.72852327565977237</v>
      </c>
      <c r="U160">
        <f t="shared" si="17"/>
        <v>-0.31673570374090598</v>
      </c>
    </row>
    <row r="161" spans="1:21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P161">
        <f t="shared" si="12"/>
        <v>0.65096072286466689</v>
      </c>
      <c r="Q161">
        <f t="shared" si="13"/>
        <v>0.65722692670657534</v>
      </c>
      <c r="R161">
        <f t="shared" si="14"/>
        <v>1</v>
      </c>
      <c r="S161">
        <f t="shared" si="15"/>
        <v>0</v>
      </c>
      <c r="T161">
        <f t="shared" si="16"/>
        <v>0.65722692670657534</v>
      </c>
      <c r="U161">
        <f t="shared" si="17"/>
        <v>-0.41972592179806878</v>
      </c>
    </row>
    <row r="162" spans="1:21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P162">
        <f t="shared" si="12"/>
        <v>0.78100288711285637</v>
      </c>
      <c r="Q162">
        <f t="shared" si="13"/>
        <v>0.6858962188121237</v>
      </c>
      <c r="R162">
        <f t="shared" si="14"/>
        <v>1</v>
      </c>
      <c r="S162">
        <f t="shared" si="15"/>
        <v>0</v>
      </c>
      <c r="T162">
        <f t="shared" si="16"/>
        <v>0.6858962188121237</v>
      </c>
      <c r="U162">
        <f t="shared" si="17"/>
        <v>-0.37702894723134261</v>
      </c>
    </row>
    <row r="163" spans="1:21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P163">
        <f t="shared" si="12"/>
        <v>0.91067924036158965</v>
      </c>
      <c r="Q163">
        <f t="shared" si="13"/>
        <v>0.71313913622783032</v>
      </c>
      <c r="R163">
        <f t="shared" si="14"/>
        <v>1</v>
      </c>
      <c r="S163">
        <f t="shared" si="15"/>
        <v>0</v>
      </c>
      <c r="T163">
        <f t="shared" si="16"/>
        <v>0.71313913622783032</v>
      </c>
      <c r="U163">
        <f t="shared" si="17"/>
        <v>-0.33807873563104296</v>
      </c>
    </row>
    <row r="164" spans="1:21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P164">
        <f t="shared" si="12"/>
        <v>0.53927953227500125</v>
      </c>
      <c r="Q164">
        <f t="shared" si="13"/>
        <v>0.63164480267046297</v>
      </c>
      <c r="R164">
        <f t="shared" si="14"/>
        <v>1</v>
      </c>
      <c r="S164">
        <f t="shared" si="15"/>
        <v>1</v>
      </c>
      <c r="T164">
        <f t="shared" si="16"/>
        <v>0.36835519732953703</v>
      </c>
      <c r="U164">
        <f t="shared" si="17"/>
        <v>-0.99870759619437366</v>
      </c>
    </row>
    <row r="165" spans="1:21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P165">
        <f t="shared" si="12"/>
        <v>0.13183389254603517</v>
      </c>
      <c r="Q165">
        <f t="shared" si="13"/>
        <v>0.53291082061918704</v>
      </c>
      <c r="R165">
        <f t="shared" si="14"/>
        <v>1</v>
      </c>
      <c r="S165">
        <f t="shared" si="15"/>
        <v>1</v>
      </c>
      <c r="T165">
        <f t="shared" si="16"/>
        <v>0.46708917938081296</v>
      </c>
      <c r="U165">
        <f t="shared" si="17"/>
        <v>-0.76123507727266526</v>
      </c>
    </row>
    <row r="166" spans="1:21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P166">
        <f t="shared" si="12"/>
        <v>0.81817949356678377</v>
      </c>
      <c r="Q166">
        <f t="shared" si="13"/>
        <v>0.69384976053084613</v>
      </c>
      <c r="R166">
        <f t="shared" si="14"/>
        <v>1</v>
      </c>
      <c r="S166">
        <f t="shared" si="15"/>
        <v>0</v>
      </c>
      <c r="T166">
        <f t="shared" si="16"/>
        <v>0.69384976053084613</v>
      </c>
      <c r="U166">
        <f t="shared" si="17"/>
        <v>-0.36549982529619085</v>
      </c>
    </row>
    <row r="167" spans="1:21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P167">
        <f t="shared" si="12"/>
        <v>4.7749225239989146E-2</v>
      </c>
      <c r="Q167">
        <f t="shared" si="13"/>
        <v>0.51193503875022695</v>
      </c>
      <c r="R167">
        <f t="shared" si="14"/>
        <v>1</v>
      </c>
      <c r="S167">
        <f t="shared" si="15"/>
        <v>1</v>
      </c>
      <c r="T167">
        <f t="shared" si="16"/>
        <v>0.48806496124977305</v>
      </c>
      <c r="U167">
        <f t="shared" si="17"/>
        <v>-0.71730676467320476</v>
      </c>
    </row>
    <row r="168" spans="1:21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P168">
        <f t="shared" si="12"/>
        <v>0.25670607412940238</v>
      </c>
      <c r="Q168">
        <f t="shared" si="13"/>
        <v>0.56382640016484631</v>
      </c>
      <c r="R168">
        <f t="shared" si="14"/>
        <v>1</v>
      </c>
      <c r="S168">
        <f t="shared" si="15"/>
        <v>1</v>
      </c>
      <c r="T168">
        <f t="shared" si="16"/>
        <v>0.43617359983515369</v>
      </c>
      <c r="U168">
        <f t="shared" si="17"/>
        <v>-0.82971495012012897</v>
      </c>
    </row>
    <row r="169" spans="1:21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P169">
        <f t="shared" si="12"/>
        <v>0.27586194667583042</v>
      </c>
      <c r="Q169">
        <f t="shared" si="13"/>
        <v>0.56853143444248544</v>
      </c>
      <c r="R169">
        <f t="shared" si="14"/>
        <v>1</v>
      </c>
      <c r="S169">
        <f t="shared" si="15"/>
        <v>1</v>
      </c>
      <c r="T169">
        <f t="shared" si="16"/>
        <v>0.43146856555751456</v>
      </c>
      <c r="U169">
        <f t="shared" si="17"/>
        <v>-0.84056062034168688</v>
      </c>
    </row>
    <row r="170" spans="1:21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P170">
        <f t="shared" si="12"/>
        <v>0.55509750489370446</v>
      </c>
      <c r="Q170">
        <f t="shared" si="13"/>
        <v>0.63531744045073268</v>
      </c>
      <c r="R170">
        <f t="shared" si="14"/>
        <v>1</v>
      </c>
      <c r="S170">
        <f t="shared" si="15"/>
        <v>1</v>
      </c>
      <c r="T170">
        <f t="shared" si="16"/>
        <v>0.36468255954926732</v>
      </c>
      <c r="U170">
        <f t="shared" si="17"/>
        <v>-1.0087280036730113</v>
      </c>
    </row>
    <row r="171" spans="1:21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P171">
        <f t="shared" si="12"/>
        <v>0.16772758742912608</v>
      </c>
      <c r="Q171">
        <f t="shared" si="13"/>
        <v>0.54183386838408343</v>
      </c>
      <c r="R171">
        <f t="shared" si="14"/>
        <v>1</v>
      </c>
      <c r="S171">
        <f t="shared" si="15"/>
        <v>1</v>
      </c>
      <c r="T171">
        <f t="shared" si="16"/>
        <v>0.45816613161591657</v>
      </c>
      <c r="U171">
        <f t="shared" si="17"/>
        <v>-0.78052342785374051</v>
      </c>
    </row>
    <row r="172" spans="1:21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P172">
        <f t="shared" si="12"/>
        <v>0.69274813477553898</v>
      </c>
      <c r="Q172">
        <f t="shared" si="13"/>
        <v>0.66657798392878542</v>
      </c>
      <c r="R172">
        <f t="shared" si="14"/>
        <v>1</v>
      </c>
      <c r="S172">
        <f t="shared" si="15"/>
        <v>0</v>
      </c>
      <c r="T172">
        <f t="shared" si="16"/>
        <v>0.66657798392878542</v>
      </c>
      <c r="U172">
        <f t="shared" si="17"/>
        <v>-0.40559814106347747</v>
      </c>
    </row>
    <row r="173" spans="1:21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P173">
        <f t="shared" si="12"/>
        <v>-3.8213327188062141E-2</v>
      </c>
      <c r="Q173">
        <f t="shared" si="13"/>
        <v>0.49044783056098074</v>
      </c>
      <c r="R173">
        <f t="shared" si="14"/>
        <v>0</v>
      </c>
      <c r="S173">
        <f t="shared" si="15"/>
        <v>0</v>
      </c>
      <c r="T173">
        <f t="shared" si="16"/>
        <v>0.50955216943901926</v>
      </c>
      <c r="U173">
        <f t="shared" si="17"/>
        <v>-0.6742230381578298</v>
      </c>
    </row>
    <row r="174" spans="1:21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P174">
        <f t="shared" si="12"/>
        <v>0.98352580806830303</v>
      </c>
      <c r="Q174">
        <f t="shared" si="13"/>
        <v>0.72780725325827078</v>
      </c>
      <c r="R174">
        <f t="shared" si="14"/>
        <v>1</v>
      </c>
      <c r="S174">
        <f t="shared" si="15"/>
        <v>0</v>
      </c>
      <c r="T174">
        <f t="shared" si="16"/>
        <v>0.72780725325827078</v>
      </c>
      <c r="U174">
        <f t="shared" si="17"/>
        <v>-0.31771902784896905</v>
      </c>
    </row>
    <row r="175" spans="1:21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P175">
        <f t="shared" si="12"/>
        <v>0.80312368884766216</v>
      </c>
      <c r="Q175">
        <f t="shared" si="13"/>
        <v>0.6906422716370223</v>
      </c>
      <c r="R175">
        <f t="shared" si="14"/>
        <v>1</v>
      </c>
      <c r="S175">
        <f t="shared" si="15"/>
        <v>1</v>
      </c>
      <c r="T175">
        <f t="shared" si="16"/>
        <v>0.3093577283629777</v>
      </c>
      <c r="U175">
        <f t="shared" si="17"/>
        <v>-1.1732569747312034</v>
      </c>
    </row>
    <row r="176" spans="1:21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P176">
        <f t="shared" si="12"/>
        <v>0.3957691554906122</v>
      </c>
      <c r="Q176">
        <f t="shared" si="13"/>
        <v>0.59767073117191061</v>
      </c>
      <c r="R176">
        <f t="shared" si="14"/>
        <v>1</v>
      </c>
      <c r="S176">
        <f t="shared" si="15"/>
        <v>0</v>
      </c>
      <c r="T176">
        <f t="shared" si="16"/>
        <v>0.59767073117191061</v>
      </c>
      <c r="U176">
        <f t="shared" si="17"/>
        <v>-0.514715293445967</v>
      </c>
    </row>
    <row r="177" spans="1:21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P177">
        <f t="shared" si="12"/>
        <v>0.30362422911526676</v>
      </c>
      <c r="Q177">
        <f t="shared" si="13"/>
        <v>0.57532824980497521</v>
      </c>
      <c r="R177">
        <f t="shared" si="14"/>
        <v>1</v>
      </c>
      <c r="S177">
        <f t="shared" si="15"/>
        <v>1</v>
      </c>
      <c r="T177">
        <f t="shared" si="16"/>
        <v>0.42467175019502479</v>
      </c>
      <c r="U177">
        <f t="shared" si="17"/>
        <v>-0.85643876095785898</v>
      </c>
    </row>
    <row r="178" spans="1:21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P178">
        <f t="shared" si="12"/>
        <v>0.95281468305607098</v>
      </c>
      <c r="Q178">
        <f t="shared" si="13"/>
        <v>0.7216808810729809</v>
      </c>
      <c r="R178">
        <f t="shared" si="14"/>
        <v>1</v>
      </c>
      <c r="S178">
        <f t="shared" si="15"/>
        <v>0</v>
      </c>
      <c r="T178">
        <f t="shared" si="16"/>
        <v>0.7216808810729809</v>
      </c>
      <c r="U178">
        <f t="shared" si="17"/>
        <v>-0.32617223077070773</v>
      </c>
    </row>
    <row r="179" spans="1:21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P179">
        <f t="shared" si="12"/>
        <v>1.0748418079229398</v>
      </c>
      <c r="Q179">
        <f t="shared" si="13"/>
        <v>0.74551660283845889</v>
      </c>
      <c r="R179">
        <f t="shared" si="14"/>
        <v>1</v>
      </c>
      <c r="S179">
        <f t="shared" si="15"/>
        <v>0</v>
      </c>
      <c r="T179">
        <f t="shared" si="16"/>
        <v>0.74551660283845889</v>
      </c>
      <c r="U179">
        <f t="shared" si="17"/>
        <v>-0.29367787428293368</v>
      </c>
    </row>
    <row r="180" spans="1:21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P180">
        <f t="shared" si="12"/>
        <v>0.77419544325684286</v>
      </c>
      <c r="Q180">
        <f t="shared" si="13"/>
        <v>0.68442775279614432</v>
      </c>
      <c r="R180">
        <f t="shared" si="14"/>
        <v>1</v>
      </c>
      <c r="S180">
        <f t="shared" si="15"/>
        <v>1</v>
      </c>
      <c r="T180">
        <f t="shared" si="16"/>
        <v>0.31557224720385568</v>
      </c>
      <c r="U180">
        <f t="shared" si="17"/>
        <v>-1.1533676304934957</v>
      </c>
    </row>
    <row r="181" spans="1:21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P181">
        <f t="shared" si="12"/>
        <v>0.99063730666570649</v>
      </c>
      <c r="Q181">
        <f t="shared" si="13"/>
        <v>0.72921378396864422</v>
      </c>
      <c r="R181">
        <f t="shared" si="14"/>
        <v>1</v>
      </c>
      <c r="S181">
        <f t="shared" si="15"/>
        <v>0</v>
      </c>
      <c r="T181">
        <f t="shared" si="16"/>
        <v>0.72921378396864422</v>
      </c>
      <c r="U181">
        <f t="shared" si="17"/>
        <v>-0.31578833349199054</v>
      </c>
    </row>
    <row r="182" spans="1:21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P182">
        <f t="shared" si="12"/>
        <v>0.36690734514648948</v>
      </c>
      <c r="Q182">
        <f t="shared" si="13"/>
        <v>0.59071147315094574</v>
      </c>
      <c r="R182">
        <f t="shared" si="14"/>
        <v>1</v>
      </c>
      <c r="S182">
        <f t="shared" si="15"/>
        <v>1</v>
      </c>
      <c r="T182">
        <f t="shared" si="16"/>
        <v>0.40928852684905426</v>
      </c>
      <c r="U182">
        <f t="shared" si="17"/>
        <v>-0.89333492702971562</v>
      </c>
    </row>
    <row r="183" spans="1:21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P183">
        <f t="shared" si="12"/>
        <v>0.49311040592722633</v>
      </c>
      <c r="Q183">
        <f t="shared" si="13"/>
        <v>0.62083889027086325</v>
      </c>
      <c r="R183">
        <f t="shared" si="14"/>
        <v>1</v>
      </c>
      <c r="S183">
        <f t="shared" si="15"/>
        <v>1</v>
      </c>
      <c r="T183">
        <f t="shared" si="16"/>
        <v>0.37916110972913675</v>
      </c>
      <c r="U183">
        <f t="shared" si="17"/>
        <v>-0.96979407259195605</v>
      </c>
    </row>
    <row r="184" spans="1:21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P184">
        <f t="shared" si="12"/>
        <v>0.5859035308236421</v>
      </c>
      <c r="Q184">
        <f t="shared" si="13"/>
        <v>0.6424246744307589</v>
      </c>
      <c r="R184">
        <f t="shared" si="14"/>
        <v>1</v>
      </c>
      <c r="S184">
        <f t="shared" si="15"/>
        <v>0</v>
      </c>
      <c r="T184">
        <f t="shared" si="16"/>
        <v>0.6424246744307589</v>
      </c>
      <c r="U184">
        <f t="shared" si="17"/>
        <v>-0.44250570732576583</v>
      </c>
    </row>
    <row r="185" spans="1:21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P185">
        <f t="shared" si="12"/>
        <v>1.0082280553418683</v>
      </c>
      <c r="Q185">
        <f t="shared" si="13"/>
        <v>0.73267323366608739</v>
      </c>
      <c r="R185">
        <f t="shared" si="14"/>
        <v>1</v>
      </c>
      <c r="S185">
        <f t="shared" si="15"/>
        <v>0</v>
      </c>
      <c r="T185">
        <f t="shared" si="16"/>
        <v>0.73267323366608739</v>
      </c>
      <c r="U185">
        <f t="shared" si="17"/>
        <v>-0.31105546957932284</v>
      </c>
    </row>
    <row r="186" spans="1:21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P186">
        <f t="shared" si="12"/>
        <v>0.34668655815735316</v>
      </c>
      <c r="Q186">
        <f t="shared" si="13"/>
        <v>0.58581384796462921</v>
      </c>
      <c r="R186">
        <f t="shared" si="14"/>
        <v>1</v>
      </c>
      <c r="S186">
        <f t="shared" si="15"/>
        <v>1</v>
      </c>
      <c r="T186">
        <f t="shared" si="16"/>
        <v>0.41418615203537079</v>
      </c>
      <c r="U186">
        <f t="shared" si="17"/>
        <v>-0.88143976361824894</v>
      </c>
    </row>
    <row r="187" spans="1:21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P187">
        <f t="shared" si="12"/>
        <v>0.67420585904022345</v>
      </c>
      <c r="Q187">
        <f t="shared" si="13"/>
        <v>0.66244428075117712</v>
      </c>
      <c r="R187">
        <f t="shared" si="14"/>
        <v>1</v>
      </c>
      <c r="S187">
        <f t="shared" si="15"/>
        <v>1</v>
      </c>
      <c r="T187">
        <f t="shared" si="16"/>
        <v>0.33755571924882288</v>
      </c>
      <c r="U187">
        <f t="shared" si="17"/>
        <v>-1.0860246882254925</v>
      </c>
    </row>
    <row r="188" spans="1:21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P188">
        <f t="shared" si="12"/>
        <v>0.20249274512353221</v>
      </c>
      <c r="Q188">
        <f t="shared" si="13"/>
        <v>0.55045091608686825</v>
      </c>
      <c r="R188">
        <f t="shared" si="14"/>
        <v>1</v>
      </c>
      <c r="S188">
        <f t="shared" si="15"/>
        <v>0</v>
      </c>
      <c r="T188">
        <f t="shared" si="16"/>
        <v>0.55045091608686825</v>
      </c>
      <c r="U188">
        <f t="shared" si="17"/>
        <v>-0.59701748921628184</v>
      </c>
    </row>
    <row r="189" spans="1:21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P189">
        <f t="shared" si="12"/>
        <v>0.12960217612018754</v>
      </c>
      <c r="Q189">
        <f t="shared" si="13"/>
        <v>0.53235526816071266</v>
      </c>
      <c r="R189">
        <f t="shared" si="14"/>
        <v>1</v>
      </c>
      <c r="S189">
        <f t="shared" si="15"/>
        <v>1</v>
      </c>
      <c r="T189">
        <f t="shared" si="16"/>
        <v>0.46764473183928734</v>
      </c>
      <c r="U189">
        <f t="shared" si="17"/>
        <v>-0.76004639134350216</v>
      </c>
    </row>
    <row r="190" spans="1:21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P190">
        <f t="shared" si="12"/>
        <v>0.32357409923663338</v>
      </c>
      <c r="Q190">
        <f t="shared" si="13"/>
        <v>0.58019503971477138</v>
      </c>
      <c r="R190">
        <f t="shared" si="14"/>
        <v>1</v>
      </c>
      <c r="S190">
        <f t="shared" si="15"/>
        <v>1</v>
      </c>
      <c r="T190">
        <f t="shared" si="16"/>
        <v>0.41980496028522862</v>
      </c>
      <c r="U190">
        <f t="shared" si="17"/>
        <v>-0.8679650558359</v>
      </c>
    </row>
    <row r="191" spans="1:21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P191">
        <f t="shared" si="12"/>
        <v>1.0082356040918414</v>
      </c>
      <c r="Q191">
        <f t="shared" si="13"/>
        <v>0.73267471218556213</v>
      </c>
      <c r="R191">
        <f t="shared" si="14"/>
        <v>1</v>
      </c>
      <c r="S191">
        <f t="shared" si="15"/>
        <v>0</v>
      </c>
      <c r="T191">
        <f t="shared" si="16"/>
        <v>0.73267471218556213</v>
      </c>
      <c r="U191">
        <f t="shared" si="17"/>
        <v>-0.31105345160198317</v>
      </c>
    </row>
    <row r="192" spans="1:21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P192">
        <f t="shared" si="12"/>
        <v>0.55125221503266109</v>
      </c>
      <c r="Q192">
        <f t="shared" si="13"/>
        <v>0.63442606564134474</v>
      </c>
      <c r="R192">
        <f t="shared" si="14"/>
        <v>1</v>
      </c>
      <c r="S192">
        <f t="shared" si="15"/>
        <v>0</v>
      </c>
      <c r="T192">
        <f t="shared" si="16"/>
        <v>0.63442606564134474</v>
      </c>
      <c r="U192">
        <f t="shared" si="17"/>
        <v>-0.45503452242902892</v>
      </c>
    </row>
    <row r="193" spans="1:21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P193">
        <f t="shared" si="12"/>
        <v>1.0351909601413727</v>
      </c>
      <c r="Q193">
        <f t="shared" si="13"/>
        <v>0.7379210333352163</v>
      </c>
      <c r="R193">
        <f t="shared" si="14"/>
        <v>1</v>
      </c>
      <c r="S193">
        <f t="shared" si="15"/>
        <v>0</v>
      </c>
      <c r="T193">
        <f t="shared" si="16"/>
        <v>0.7379210333352163</v>
      </c>
      <c r="U193">
        <f t="shared" si="17"/>
        <v>-0.30391846100746023</v>
      </c>
    </row>
    <row r="194" spans="1:21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P194">
        <f t="shared" si="12"/>
        <v>0.1065025613681676</v>
      </c>
      <c r="Q194">
        <f t="shared" si="13"/>
        <v>0.52660050142325754</v>
      </c>
      <c r="R194">
        <f t="shared" si="14"/>
        <v>1</v>
      </c>
      <c r="S194">
        <f t="shared" si="15"/>
        <v>1</v>
      </c>
      <c r="T194">
        <f t="shared" si="16"/>
        <v>0.47339949857674246</v>
      </c>
      <c r="U194">
        <f t="shared" si="17"/>
        <v>-0.74781564109854226</v>
      </c>
    </row>
    <row r="195" spans="1:21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P195">
        <f t="shared" si="12"/>
        <v>1.359485472760102</v>
      </c>
      <c r="Q195">
        <f t="shared" si="13"/>
        <v>0.79567606083247366</v>
      </c>
      <c r="R195">
        <f t="shared" si="14"/>
        <v>1</v>
      </c>
      <c r="S195">
        <f t="shared" si="15"/>
        <v>0</v>
      </c>
      <c r="T195">
        <f t="shared" si="16"/>
        <v>0.79567606083247366</v>
      </c>
      <c r="U195">
        <f t="shared" si="17"/>
        <v>-0.22856313472111431</v>
      </c>
    </row>
    <row r="196" spans="1:21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P196">
        <f t="shared" si="12"/>
        <v>0.68654005744120028</v>
      </c>
      <c r="Q196">
        <f t="shared" si="13"/>
        <v>0.66519680383773172</v>
      </c>
      <c r="R196">
        <f t="shared" si="14"/>
        <v>1</v>
      </c>
      <c r="S196">
        <f t="shared" si="15"/>
        <v>0</v>
      </c>
      <c r="T196">
        <f t="shared" si="16"/>
        <v>0.66519680383773172</v>
      </c>
      <c r="U196">
        <f t="shared" si="17"/>
        <v>-0.40767233648890078</v>
      </c>
    </row>
    <row r="197" spans="1:21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P197">
        <f t="shared" si="12"/>
        <v>0.22585041056675348</v>
      </c>
      <c r="Q197">
        <f t="shared" si="13"/>
        <v>0.55622381496322826</v>
      </c>
      <c r="R197">
        <f t="shared" si="14"/>
        <v>1</v>
      </c>
      <c r="S197">
        <f t="shared" si="15"/>
        <v>1</v>
      </c>
      <c r="T197">
        <f t="shared" si="16"/>
        <v>0.44377618503677174</v>
      </c>
      <c r="U197">
        <f t="shared" si="17"/>
        <v>-0.81243493139987644</v>
      </c>
    </row>
    <row r="198" spans="1:21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P198">
        <f t="shared" si="12"/>
        <v>0.8194730278076735</v>
      </c>
      <c r="Q198">
        <f t="shared" si="13"/>
        <v>0.69412446708972975</v>
      </c>
      <c r="R198">
        <f t="shared" si="14"/>
        <v>1</v>
      </c>
      <c r="S198">
        <f t="shared" si="15"/>
        <v>0</v>
      </c>
      <c r="T198">
        <f t="shared" si="16"/>
        <v>0.69412446708972975</v>
      </c>
      <c r="U198">
        <f t="shared" si="17"/>
        <v>-0.3651039871646119</v>
      </c>
    </row>
    <row r="199" spans="1:21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P199">
        <f t="shared" ref="P199:P262" si="18">SUMPRODUCT($A$3:$M$3,A199:M199)+$N$3</f>
        <v>0.2559392516504635</v>
      </c>
      <c r="Q199">
        <f t="shared" ref="Q199:Q262" si="19">1/(1+EXP(-P199))</f>
        <v>0.56363780921263862</v>
      </c>
      <c r="R199">
        <f t="shared" ref="R199:R262" si="20">IF(Q199&gt;=0.5,1,0)</f>
        <v>1</v>
      </c>
      <c r="S199">
        <f t="shared" ref="S199:S262" si="21">IF(R199=N199,0,1)</f>
        <v>1</v>
      </c>
      <c r="T199">
        <f t="shared" ref="T199:T262" si="22">IF(N199=1,Q199,1-Q199)</f>
        <v>0.43636219078736138</v>
      </c>
      <c r="U199">
        <f t="shared" ref="U199:U262" si="23">IF(T199=0,-1000000,LN(T199))</f>
        <v>-0.82928266766897607</v>
      </c>
    </row>
    <row r="200" spans="1:21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P200">
        <f t="shared" si="18"/>
        <v>0.37961333184405932</v>
      </c>
      <c r="Q200">
        <f t="shared" si="19"/>
        <v>0.59377983989252803</v>
      </c>
      <c r="R200">
        <f t="shared" si="20"/>
        <v>1</v>
      </c>
      <c r="S200">
        <f t="shared" si="21"/>
        <v>1</v>
      </c>
      <c r="T200">
        <f t="shared" si="22"/>
        <v>0.40622016010747197</v>
      </c>
      <c r="U200">
        <f t="shared" si="23"/>
        <v>-0.90086000007906919</v>
      </c>
    </row>
    <row r="201" spans="1:21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P201">
        <f t="shared" si="18"/>
        <v>-8.5845876031842905E-2</v>
      </c>
      <c r="Q201">
        <f t="shared" si="19"/>
        <v>0.4785517013366849</v>
      </c>
      <c r="R201">
        <f t="shared" si="20"/>
        <v>0</v>
      </c>
      <c r="S201">
        <f t="shared" si="21"/>
        <v>0</v>
      </c>
      <c r="T201">
        <f t="shared" si="22"/>
        <v>0.5214482986633151</v>
      </c>
      <c r="U201">
        <f t="shared" si="23"/>
        <v>-0.65114514912363197</v>
      </c>
    </row>
    <row r="202" spans="1:21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P202">
        <f t="shared" si="18"/>
        <v>0.18858169922157519</v>
      </c>
      <c r="Q202">
        <f t="shared" si="19"/>
        <v>0.5470062002891426</v>
      </c>
      <c r="R202">
        <f t="shared" si="20"/>
        <v>1</v>
      </c>
      <c r="S202">
        <f t="shared" si="21"/>
        <v>0</v>
      </c>
      <c r="T202">
        <f t="shared" si="22"/>
        <v>0.5470062002891426</v>
      </c>
      <c r="U202">
        <f t="shared" si="23"/>
        <v>-0.6032951415436979</v>
      </c>
    </row>
    <row r="203" spans="1:21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P203">
        <f t="shared" si="18"/>
        <v>9.9390982060684085E-2</v>
      </c>
      <c r="Q203">
        <f t="shared" si="19"/>
        <v>0.52482731069105415</v>
      </c>
      <c r="R203">
        <f t="shared" si="20"/>
        <v>1</v>
      </c>
      <c r="S203">
        <f t="shared" si="21"/>
        <v>1</v>
      </c>
      <c r="T203">
        <f t="shared" si="22"/>
        <v>0.47517268930894585</v>
      </c>
      <c r="U203">
        <f t="shared" si="23"/>
        <v>-0.74407698457823923</v>
      </c>
    </row>
    <row r="204" spans="1:21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P204">
        <f t="shared" si="18"/>
        <v>0.33949475311374877</v>
      </c>
      <c r="Q204">
        <f t="shared" si="19"/>
        <v>0.58406778720788344</v>
      </c>
      <c r="R204">
        <f t="shared" si="20"/>
        <v>1</v>
      </c>
      <c r="S204">
        <f t="shared" si="21"/>
        <v>1</v>
      </c>
      <c r="T204">
        <f t="shared" si="22"/>
        <v>0.41593221279211656</v>
      </c>
      <c r="U204">
        <f t="shared" si="23"/>
        <v>-0.87723298201762112</v>
      </c>
    </row>
    <row r="205" spans="1:21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P205">
        <f t="shared" si="18"/>
        <v>0.38560060031865129</v>
      </c>
      <c r="Q205">
        <f t="shared" si="19"/>
        <v>0.59522318630121851</v>
      </c>
      <c r="R205">
        <f t="shared" si="20"/>
        <v>1</v>
      </c>
      <c r="S205">
        <f t="shared" si="21"/>
        <v>1</v>
      </c>
      <c r="T205">
        <f t="shared" si="22"/>
        <v>0.40477681369878149</v>
      </c>
      <c r="U205">
        <f t="shared" si="23"/>
        <v>-0.90441944106145322</v>
      </c>
    </row>
    <row r="206" spans="1:21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P206">
        <f t="shared" si="18"/>
        <v>0.33640306186586166</v>
      </c>
      <c r="Q206">
        <f t="shared" si="19"/>
        <v>0.58331651992782585</v>
      </c>
      <c r="R206">
        <f t="shared" si="20"/>
        <v>1</v>
      </c>
      <c r="S206">
        <f t="shared" si="21"/>
        <v>1</v>
      </c>
      <c r="T206">
        <f t="shared" si="22"/>
        <v>0.41668348007217415</v>
      </c>
      <c r="U206">
        <f t="shared" si="23"/>
        <v>-0.87542838599480899</v>
      </c>
    </row>
    <row r="207" spans="1:21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P207">
        <f t="shared" si="18"/>
        <v>0.41034643807441162</v>
      </c>
      <c r="Q207">
        <f t="shared" si="19"/>
        <v>0.60117094528982029</v>
      </c>
      <c r="R207">
        <f t="shared" si="20"/>
        <v>1</v>
      </c>
      <c r="S207">
        <f t="shared" si="21"/>
        <v>1</v>
      </c>
      <c r="T207">
        <f t="shared" si="22"/>
        <v>0.39882905471017971</v>
      </c>
      <c r="U207">
        <f t="shared" si="23"/>
        <v>-0.91922238820680158</v>
      </c>
    </row>
    <row r="208" spans="1:21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P208">
        <f t="shared" si="18"/>
        <v>1.2384936631381676</v>
      </c>
      <c r="Q208">
        <f t="shared" si="19"/>
        <v>0.77530170570284263</v>
      </c>
      <c r="R208">
        <f t="shared" si="20"/>
        <v>1</v>
      </c>
      <c r="S208">
        <f t="shared" si="21"/>
        <v>0</v>
      </c>
      <c r="T208">
        <f t="shared" si="22"/>
        <v>0.77530170570284263</v>
      </c>
      <c r="U208">
        <f t="shared" si="23"/>
        <v>-0.25450302770438443</v>
      </c>
    </row>
    <row r="209" spans="1:21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P209">
        <f t="shared" si="18"/>
        <v>1.1736063624708275</v>
      </c>
      <c r="Q209">
        <f t="shared" si="19"/>
        <v>0.76379626395787492</v>
      </c>
      <c r="R209">
        <f t="shared" si="20"/>
        <v>1</v>
      </c>
      <c r="S209">
        <f t="shared" si="21"/>
        <v>0</v>
      </c>
      <c r="T209">
        <f t="shared" si="22"/>
        <v>0.76379626395787492</v>
      </c>
      <c r="U209">
        <f t="shared" si="23"/>
        <v>-0.26945419559064571</v>
      </c>
    </row>
    <row r="210" spans="1:21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P210">
        <f t="shared" si="18"/>
        <v>0.85268018386727407</v>
      </c>
      <c r="Q210">
        <f t="shared" si="19"/>
        <v>0.70112906980132883</v>
      </c>
      <c r="R210">
        <f t="shared" si="20"/>
        <v>1</v>
      </c>
      <c r="S210">
        <f t="shared" si="21"/>
        <v>0</v>
      </c>
      <c r="T210">
        <f t="shared" si="22"/>
        <v>0.70112906980132883</v>
      </c>
      <c r="U210">
        <f t="shared" si="23"/>
        <v>-0.35506328649752344</v>
      </c>
    </row>
    <row r="211" spans="1:21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P211">
        <f t="shared" si="18"/>
        <v>6.4167367051679358E-2</v>
      </c>
      <c r="Q211">
        <f t="shared" si="19"/>
        <v>0.51603633973689778</v>
      </c>
      <c r="R211">
        <f t="shared" si="20"/>
        <v>1</v>
      </c>
      <c r="S211">
        <f t="shared" si="21"/>
        <v>1</v>
      </c>
      <c r="T211">
        <f t="shared" si="22"/>
        <v>0.48396366026310222</v>
      </c>
      <c r="U211">
        <f t="shared" si="23"/>
        <v>-0.7257454571853359</v>
      </c>
    </row>
    <row r="212" spans="1:21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P212">
        <f t="shared" si="18"/>
        <v>0.35555298740727381</v>
      </c>
      <c r="Q212">
        <f t="shared" si="19"/>
        <v>0.58796351306370476</v>
      </c>
      <c r="R212">
        <f t="shared" si="20"/>
        <v>1</v>
      </c>
      <c r="S212">
        <f t="shared" si="21"/>
        <v>0</v>
      </c>
      <c r="T212">
        <f t="shared" si="22"/>
        <v>0.58796351306370476</v>
      </c>
      <c r="U212">
        <f t="shared" si="23"/>
        <v>-0.53109038562160016</v>
      </c>
    </row>
    <row r="213" spans="1:21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P213">
        <f t="shared" si="18"/>
        <v>-5.4088465351890769E-2</v>
      </c>
      <c r="Q213">
        <f t="shared" si="19"/>
        <v>0.48648117934709545</v>
      </c>
      <c r="R213">
        <f t="shared" si="20"/>
        <v>0</v>
      </c>
      <c r="S213">
        <f t="shared" si="21"/>
        <v>0</v>
      </c>
      <c r="T213">
        <f t="shared" si="22"/>
        <v>0.51351882065290455</v>
      </c>
      <c r="U213">
        <f t="shared" si="23"/>
        <v>-0.66646859857553309</v>
      </c>
    </row>
    <row r="214" spans="1:21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P214">
        <f t="shared" si="18"/>
        <v>0.46052161833575311</v>
      </c>
      <c r="Q214">
        <f t="shared" si="19"/>
        <v>0.61313791121045402</v>
      </c>
      <c r="R214">
        <f t="shared" si="20"/>
        <v>1</v>
      </c>
      <c r="S214">
        <f t="shared" si="21"/>
        <v>0</v>
      </c>
      <c r="T214">
        <f t="shared" si="22"/>
        <v>0.61313791121045402</v>
      </c>
      <c r="U214">
        <f t="shared" si="23"/>
        <v>-0.48916539084475041</v>
      </c>
    </row>
    <row r="215" spans="1:21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P215">
        <f t="shared" si="18"/>
        <v>0.30415587977621095</v>
      </c>
      <c r="Q215">
        <f t="shared" si="19"/>
        <v>0.57545814049586264</v>
      </c>
      <c r="R215">
        <f t="shared" si="20"/>
        <v>1</v>
      </c>
      <c r="S215">
        <f t="shared" si="21"/>
        <v>1</v>
      </c>
      <c r="T215">
        <f t="shared" si="22"/>
        <v>0.42454185950413736</v>
      </c>
      <c r="U215">
        <f t="shared" si="23"/>
        <v>-0.85674466913082481</v>
      </c>
    </row>
    <row r="216" spans="1:21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P216">
        <f t="shared" si="18"/>
        <v>0.7935690979955986</v>
      </c>
      <c r="Q216">
        <f t="shared" si="19"/>
        <v>0.68859717090831352</v>
      </c>
      <c r="R216">
        <f t="shared" si="20"/>
        <v>1</v>
      </c>
      <c r="S216">
        <f t="shared" si="21"/>
        <v>0</v>
      </c>
      <c r="T216">
        <f t="shared" si="22"/>
        <v>0.68859717090831352</v>
      </c>
      <c r="U216">
        <f t="shared" si="23"/>
        <v>-0.37309883655505627</v>
      </c>
    </row>
    <row r="217" spans="1:21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P217">
        <f t="shared" si="18"/>
        <v>0.31363829604617832</v>
      </c>
      <c r="Q217">
        <f t="shared" si="19"/>
        <v>0.57777307859662475</v>
      </c>
      <c r="R217">
        <f t="shared" si="20"/>
        <v>1</v>
      </c>
      <c r="S217">
        <f t="shared" si="21"/>
        <v>0</v>
      </c>
      <c r="T217">
        <f t="shared" si="22"/>
        <v>0.57777307859662475</v>
      </c>
      <c r="U217">
        <f t="shared" si="23"/>
        <v>-0.54857408498006188</v>
      </c>
    </row>
    <row r="218" spans="1:21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P218">
        <f t="shared" si="18"/>
        <v>0.34640073970223739</v>
      </c>
      <c r="Q218">
        <f t="shared" si="19"/>
        <v>0.58574449642214477</v>
      </c>
      <c r="R218">
        <f t="shared" si="20"/>
        <v>1</v>
      </c>
      <c r="S218">
        <f t="shared" si="21"/>
        <v>1</v>
      </c>
      <c r="T218">
        <f t="shared" si="22"/>
        <v>0.41425550357785523</v>
      </c>
      <c r="U218">
        <f t="shared" si="23"/>
        <v>-0.88127233712013275</v>
      </c>
    </row>
    <row r="219" spans="1:21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P219">
        <f t="shared" si="18"/>
        <v>-0.18910443035904956</v>
      </c>
      <c r="Q219">
        <f t="shared" si="19"/>
        <v>0.45286427512982974</v>
      </c>
      <c r="R219">
        <f t="shared" si="20"/>
        <v>0</v>
      </c>
      <c r="S219">
        <f t="shared" si="21"/>
        <v>0</v>
      </c>
      <c r="T219">
        <f t="shared" si="22"/>
        <v>0.54713572487017026</v>
      </c>
      <c r="U219">
        <f t="shared" si="23"/>
        <v>-0.60305838143304991</v>
      </c>
    </row>
    <row r="220" spans="1:21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P220">
        <f t="shared" si="18"/>
        <v>0.37438380952302819</v>
      </c>
      <c r="Q220">
        <f t="shared" si="19"/>
        <v>0.59251783513349421</v>
      </c>
      <c r="R220">
        <f t="shared" si="20"/>
        <v>1</v>
      </c>
      <c r="S220">
        <f t="shared" si="21"/>
        <v>1</v>
      </c>
      <c r="T220">
        <f t="shared" si="22"/>
        <v>0.40748216486650579</v>
      </c>
      <c r="U220">
        <f t="shared" si="23"/>
        <v>-0.89775811445779019</v>
      </c>
    </row>
    <row r="221" spans="1:21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P221">
        <f t="shared" si="18"/>
        <v>0.58645159180527917</v>
      </c>
      <c r="Q221">
        <f t="shared" si="19"/>
        <v>0.64255056254575571</v>
      </c>
      <c r="R221">
        <f t="shared" si="20"/>
        <v>1</v>
      </c>
      <c r="S221">
        <f t="shared" si="21"/>
        <v>1</v>
      </c>
      <c r="T221">
        <f t="shared" si="22"/>
        <v>0.35744943745424429</v>
      </c>
      <c r="U221">
        <f t="shared" si="23"/>
        <v>-1.0287613605451844</v>
      </c>
    </row>
    <row r="222" spans="1:21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P222">
        <f t="shared" si="18"/>
        <v>0.2394726360039201</v>
      </c>
      <c r="Q222">
        <f t="shared" si="19"/>
        <v>0.55958368461079033</v>
      </c>
      <c r="R222">
        <f t="shared" si="20"/>
        <v>1</v>
      </c>
      <c r="S222">
        <f t="shared" si="21"/>
        <v>1</v>
      </c>
      <c r="T222">
        <f t="shared" si="22"/>
        <v>0.44041631538920967</v>
      </c>
      <c r="U222">
        <f t="shared" si="23"/>
        <v>-0.82003482806866879</v>
      </c>
    </row>
    <row r="223" spans="1:21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P223">
        <f t="shared" si="18"/>
        <v>0.13753504914412773</v>
      </c>
      <c r="Q223">
        <f t="shared" si="19"/>
        <v>0.53432966465950571</v>
      </c>
      <c r="R223">
        <f t="shared" si="20"/>
        <v>1</v>
      </c>
      <c r="S223">
        <f t="shared" si="21"/>
        <v>1</v>
      </c>
      <c r="T223">
        <f t="shared" si="22"/>
        <v>0.46567033534049429</v>
      </c>
      <c r="U223">
        <f t="shared" si="23"/>
        <v>-0.76427733009827525</v>
      </c>
    </row>
    <row r="224" spans="1:21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P224">
        <f t="shared" si="18"/>
        <v>-8.9532948298167159E-3</v>
      </c>
      <c r="Q224">
        <f t="shared" si="19"/>
        <v>0.49776169124470598</v>
      </c>
      <c r="R224">
        <f t="shared" si="20"/>
        <v>0</v>
      </c>
      <c r="S224">
        <f t="shared" si="21"/>
        <v>0</v>
      </c>
      <c r="T224">
        <f t="shared" si="22"/>
        <v>0.50223830875529396</v>
      </c>
      <c r="U224">
        <f t="shared" si="23"/>
        <v>-0.68868055329760802</v>
      </c>
    </row>
    <row r="225" spans="1:21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P225">
        <f t="shared" si="18"/>
        <v>-0.14139954181955011</v>
      </c>
      <c r="Q225">
        <f t="shared" si="19"/>
        <v>0.46470889532389942</v>
      </c>
      <c r="R225">
        <f t="shared" si="20"/>
        <v>0</v>
      </c>
      <c r="S225">
        <f t="shared" si="21"/>
        <v>0</v>
      </c>
      <c r="T225">
        <f t="shared" si="22"/>
        <v>0.53529110467610064</v>
      </c>
      <c r="U225">
        <f t="shared" si="23"/>
        <v>-0.62494455917631719</v>
      </c>
    </row>
    <row r="226" spans="1:21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P226">
        <f t="shared" si="18"/>
        <v>1.1714025636500964</v>
      </c>
      <c r="Q226">
        <f t="shared" si="19"/>
        <v>0.76339844212407892</v>
      </c>
      <c r="R226">
        <f t="shared" si="20"/>
        <v>1</v>
      </c>
      <c r="S226">
        <f t="shared" si="21"/>
        <v>0</v>
      </c>
      <c r="T226">
        <f t="shared" si="22"/>
        <v>0.76339844212407892</v>
      </c>
      <c r="U226">
        <f t="shared" si="23"/>
        <v>-0.26997517938034837</v>
      </c>
    </row>
    <row r="227" spans="1:21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P227">
        <f t="shared" si="18"/>
        <v>0.533453679085234</v>
      </c>
      <c r="Q227">
        <f t="shared" si="19"/>
        <v>0.63028826692236306</v>
      </c>
      <c r="R227">
        <f t="shared" si="20"/>
        <v>1</v>
      </c>
      <c r="S227">
        <f t="shared" si="21"/>
        <v>0</v>
      </c>
      <c r="T227">
        <f t="shared" si="22"/>
        <v>0.63028826692236306</v>
      </c>
      <c r="U227">
        <f t="shared" si="23"/>
        <v>-0.46157799770477392</v>
      </c>
    </row>
    <row r="228" spans="1:21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P228">
        <f t="shared" si="18"/>
        <v>-0.17429058939241074</v>
      </c>
      <c r="Q228">
        <f t="shared" si="19"/>
        <v>0.45653731990075525</v>
      </c>
      <c r="R228">
        <f t="shared" si="20"/>
        <v>0</v>
      </c>
      <c r="S228">
        <f t="shared" si="21"/>
        <v>0</v>
      </c>
      <c r="T228">
        <f t="shared" si="22"/>
        <v>0.54346268009924481</v>
      </c>
      <c r="U228">
        <f t="shared" si="23"/>
        <v>-0.60979424064923649</v>
      </c>
    </row>
    <row r="229" spans="1:21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P229">
        <f t="shared" si="18"/>
        <v>0.21524134979806842</v>
      </c>
      <c r="Q229">
        <f t="shared" si="19"/>
        <v>0.55360354789186972</v>
      </c>
      <c r="R229">
        <f t="shared" si="20"/>
        <v>1</v>
      </c>
      <c r="S229">
        <f t="shared" si="21"/>
        <v>1</v>
      </c>
      <c r="T229">
        <f t="shared" si="22"/>
        <v>0.44639645210813028</v>
      </c>
      <c r="U229">
        <f t="shared" si="23"/>
        <v>-0.80654781573306622</v>
      </c>
    </row>
    <row r="230" spans="1:21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P230">
        <f t="shared" si="18"/>
        <v>0.13737302959901398</v>
      </c>
      <c r="Q230">
        <f t="shared" si="19"/>
        <v>0.53428935049331128</v>
      </c>
      <c r="R230">
        <f t="shared" si="20"/>
        <v>1</v>
      </c>
      <c r="S230">
        <f t="shared" si="21"/>
        <v>1</v>
      </c>
      <c r="T230">
        <f t="shared" si="22"/>
        <v>0.46571064950668872</v>
      </c>
      <c r="U230">
        <f t="shared" si="23"/>
        <v>-0.76419076151490173</v>
      </c>
    </row>
    <row r="231" spans="1:21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P231">
        <f t="shared" si="18"/>
        <v>0.69605718783749471</v>
      </c>
      <c r="Q231">
        <f t="shared" si="19"/>
        <v>0.66731302101180678</v>
      </c>
      <c r="R231">
        <f t="shared" si="20"/>
        <v>1</v>
      </c>
      <c r="S231">
        <f t="shared" si="21"/>
        <v>0</v>
      </c>
      <c r="T231">
        <f t="shared" si="22"/>
        <v>0.66731302101180678</v>
      </c>
      <c r="U231">
        <f t="shared" si="23"/>
        <v>-0.40449604628257307</v>
      </c>
    </row>
    <row r="232" spans="1:21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P232">
        <f t="shared" si="18"/>
        <v>0.56690000128679252</v>
      </c>
      <c r="Q232">
        <f t="shared" si="19"/>
        <v>0.63804755936372126</v>
      </c>
      <c r="R232">
        <f t="shared" si="20"/>
        <v>1</v>
      </c>
      <c r="S232">
        <f t="shared" si="21"/>
        <v>0</v>
      </c>
      <c r="T232">
        <f t="shared" si="22"/>
        <v>0.63804755936372126</v>
      </c>
      <c r="U232">
        <f t="shared" si="23"/>
        <v>-0.44934245395840378</v>
      </c>
    </row>
    <row r="233" spans="1:21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P233">
        <f t="shared" si="18"/>
        <v>8.7143174165794313E-2</v>
      </c>
      <c r="Q233">
        <f t="shared" si="19"/>
        <v>0.52177201734854994</v>
      </c>
      <c r="R233">
        <f t="shared" si="20"/>
        <v>1</v>
      </c>
      <c r="S233">
        <f t="shared" si="21"/>
        <v>1</v>
      </c>
      <c r="T233">
        <f t="shared" si="22"/>
        <v>0.47822798265145006</v>
      </c>
      <c r="U233">
        <f t="shared" si="23"/>
        <v>-0.73766770904206824</v>
      </c>
    </row>
    <row r="234" spans="1:21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P234">
        <f t="shared" si="18"/>
        <v>0.65237527994960376</v>
      </c>
      <c r="Q234">
        <f t="shared" si="19"/>
        <v>0.65754552678129252</v>
      </c>
      <c r="R234">
        <f t="shared" si="20"/>
        <v>1</v>
      </c>
      <c r="S234">
        <f t="shared" si="21"/>
        <v>0</v>
      </c>
      <c r="T234">
        <f t="shared" si="22"/>
        <v>0.65754552678129252</v>
      </c>
      <c r="U234">
        <f t="shared" si="23"/>
        <v>-0.4192412750744352</v>
      </c>
    </row>
    <row r="235" spans="1:21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P235">
        <f t="shared" si="18"/>
        <v>0.68557585465212656</v>
      </c>
      <c r="Q235">
        <f t="shared" si="19"/>
        <v>0.66498203202624184</v>
      </c>
      <c r="R235">
        <f t="shared" si="20"/>
        <v>1</v>
      </c>
      <c r="S235">
        <f t="shared" si="21"/>
        <v>0</v>
      </c>
      <c r="T235">
        <f t="shared" si="22"/>
        <v>0.66498203202624184</v>
      </c>
      <c r="U235">
        <f t="shared" si="23"/>
        <v>-0.40799525820072718</v>
      </c>
    </row>
    <row r="236" spans="1:21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P236">
        <f t="shared" si="18"/>
        <v>0.3153056483523039</v>
      </c>
      <c r="Q236">
        <f t="shared" si="19"/>
        <v>0.57817977860661007</v>
      </c>
      <c r="R236">
        <f t="shared" si="20"/>
        <v>1</v>
      </c>
      <c r="S236">
        <f t="shared" si="21"/>
        <v>1</v>
      </c>
      <c r="T236">
        <f t="shared" si="22"/>
        <v>0.42182022139338993</v>
      </c>
      <c r="U236">
        <f t="shared" si="23"/>
        <v>-0.86317607137204932</v>
      </c>
    </row>
    <row r="237" spans="1:21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P237">
        <f t="shared" si="18"/>
        <v>0.1670925275241254</v>
      </c>
      <c r="Q237">
        <f t="shared" si="19"/>
        <v>0.54167621062553983</v>
      </c>
      <c r="R237">
        <f t="shared" si="20"/>
        <v>1</v>
      </c>
      <c r="S237">
        <f t="shared" si="21"/>
        <v>1</v>
      </c>
      <c r="T237">
        <f t="shared" si="22"/>
        <v>0.45832378937446017</v>
      </c>
      <c r="U237">
        <f t="shared" si="23"/>
        <v>-0.78017938094937656</v>
      </c>
    </row>
    <row r="238" spans="1:21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P238">
        <f t="shared" si="18"/>
        <v>0.97604210372336209</v>
      </c>
      <c r="Q238">
        <f t="shared" si="19"/>
        <v>0.72632217768680762</v>
      </c>
      <c r="R238">
        <f t="shared" si="20"/>
        <v>1</v>
      </c>
      <c r="S238">
        <f t="shared" si="21"/>
        <v>0</v>
      </c>
      <c r="T238">
        <f t="shared" si="22"/>
        <v>0.72632217768680762</v>
      </c>
      <c r="U238">
        <f t="shared" si="23"/>
        <v>-0.31976159167606588</v>
      </c>
    </row>
    <row r="239" spans="1:21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P239">
        <f t="shared" si="18"/>
        <v>0.89075954770959986</v>
      </c>
      <c r="Q239">
        <f t="shared" si="19"/>
        <v>0.70904689167716051</v>
      </c>
      <c r="R239">
        <f t="shared" si="20"/>
        <v>1</v>
      </c>
      <c r="S239">
        <f t="shared" si="21"/>
        <v>0</v>
      </c>
      <c r="T239">
        <f t="shared" si="22"/>
        <v>0.70904689167716051</v>
      </c>
      <c r="U239">
        <f t="shared" si="23"/>
        <v>-0.34383361686951103</v>
      </c>
    </row>
    <row r="240" spans="1:21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P240">
        <f t="shared" si="18"/>
        <v>0.57741289413507946</v>
      </c>
      <c r="Q240">
        <f t="shared" si="19"/>
        <v>0.64047189630627399</v>
      </c>
      <c r="R240">
        <f t="shared" si="20"/>
        <v>1</v>
      </c>
      <c r="S240">
        <f t="shared" si="21"/>
        <v>0</v>
      </c>
      <c r="T240">
        <f t="shared" si="22"/>
        <v>0.64047189630627399</v>
      </c>
      <c r="U240">
        <f t="shared" si="23"/>
        <v>-0.44555003634996537</v>
      </c>
    </row>
    <row r="241" spans="1:21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P241">
        <f t="shared" si="18"/>
        <v>-1.9765228228974752E-2</v>
      </c>
      <c r="Q241">
        <f t="shared" si="19"/>
        <v>0.49505885380247217</v>
      </c>
      <c r="R241">
        <f t="shared" si="20"/>
        <v>0</v>
      </c>
      <c r="S241">
        <f t="shared" si="21"/>
        <v>0</v>
      </c>
      <c r="T241">
        <f t="shared" si="22"/>
        <v>0.50494114619752783</v>
      </c>
      <c r="U241">
        <f t="shared" si="23"/>
        <v>-0.68331339868145835</v>
      </c>
    </row>
    <row r="242" spans="1:21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P242">
        <f t="shared" si="18"/>
        <v>5.2100582117284633E-2</v>
      </c>
      <c r="Q242">
        <f t="shared" si="19"/>
        <v>0.51302219996427167</v>
      </c>
      <c r="R242">
        <f t="shared" si="20"/>
        <v>1</v>
      </c>
      <c r="S242">
        <f t="shared" si="21"/>
        <v>1</v>
      </c>
      <c r="T242">
        <f t="shared" si="22"/>
        <v>0.48697780003572833</v>
      </c>
      <c r="U242">
        <f t="shared" si="23"/>
        <v>-0.71953674208082308</v>
      </c>
    </row>
    <row r="243" spans="1:21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P243">
        <f t="shared" si="18"/>
        <v>3.4308871256932716E-2</v>
      </c>
      <c r="Q243">
        <f t="shared" si="19"/>
        <v>0.50857637656063326</v>
      </c>
      <c r="R243">
        <f t="shared" si="20"/>
        <v>1</v>
      </c>
      <c r="S243">
        <f t="shared" si="21"/>
        <v>1</v>
      </c>
      <c r="T243">
        <f t="shared" si="22"/>
        <v>0.49142362343936674</v>
      </c>
      <c r="U243">
        <f t="shared" si="23"/>
        <v>-0.71044874630337884</v>
      </c>
    </row>
    <row r="244" spans="1:21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P244">
        <f t="shared" si="18"/>
        <v>-7.8268307959173389E-2</v>
      </c>
      <c r="Q244">
        <f t="shared" si="19"/>
        <v>0.48044290577033527</v>
      </c>
      <c r="R244">
        <f t="shared" si="20"/>
        <v>0</v>
      </c>
      <c r="S244">
        <f t="shared" si="21"/>
        <v>0</v>
      </c>
      <c r="T244">
        <f t="shared" si="22"/>
        <v>0.51955709422966478</v>
      </c>
      <c r="U244">
        <f t="shared" si="23"/>
        <v>-0.65477857221089752</v>
      </c>
    </row>
    <row r="245" spans="1:21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P245">
        <f t="shared" si="18"/>
        <v>7.2845958337439343E-2</v>
      </c>
      <c r="Q245">
        <f t="shared" si="19"/>
        <v>0.51820344053207079</v>
      </c>
      <c r="R245">
        <f t="shared" si="20"/>
        <v>1</v>
      </c>
      <c r="S245">
        <f t="shared" si="21"/>
        <v>1</v>
      </c>
      <c r="T245">
        <f t="shared" si="22"/>
        <v>0.48179655946792921</v>
      </c>
      <c r="U245">
        <f t="shared" si="23"/>
        <v>-0.73023332982327405</v>
      </c>
    </row>
    <row r="246" spans="1:21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P246">
        <f t="shared" si="18"/>
        <v>0.43064935138463623</v>
      </c>
      <c r="Q246">
        <f t="shared" si="19"/>
        <v>0.60602871688161009</v>
      </c>
      <c r="R246">
        <f t="shared" si="20"/>
        <v>1</v>
      </c>
      <c r="S246">
        <f t="shared" si="21"/>
        <v>0</v>
      </c>
      <c r="T246">
        <f t="shared" si="22"/>
        <v>0.60602871688161009</v>
      </c>
      <c r="U246">
        <f t="shared" si="23"/>
        <v>-0.50082790644216313</v>
      </c>
    </row>
    <row r="247" spans="1:21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P247">
        <f t="shared" si="18"/>
        <v>6.3173022491469499E-4</v>
      </c>
      <c r="Q247">
        <f t="shared" si="19"/>
        <v>0.50015793255097629</v>
      </c>
      <c r="R247">
        <f t="shared" si="20"/>
        <v>1</v>
      </c>
      <c r="S247">
        <f t="shared" si="21"/>
        <v>1</v>
      </c>
      <c r="T247">
        <f t="shared" si="22"/>
        <v>0.49984206744902371</v>
      </c>
      <c r="U247">
        <f t="shared" si="23"/>
        <v>-0.6934630955577864</v>
      </c>
    </row>
    <row r="248" spans="1:21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P248">
        <f t="shared" si="18"/>
        <v>0.4987842067324062</v>
      </c>
      <c r="Q248">
        <f t="shared" si="19"/>
        <v>0.62217357276068841</v>
      </c>
      <c r="R248">
        <f t="shared" si="20"/>
        <v>1</v>
      </c>
      <c r="S248">
        <f t="shared" si="21"/>
        <v>0</v>
      </c>
      <c r="T248">
        <f t="shared" si="22"/>
        <v>0.62217357276068841</v>
      </c>
      <c r="U248">
        <f t="shared" si="23"/>
        <v>-0.47453616928645798</v>
      </c>
    </row>
    <row r="249" spans="1:21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P249">
        <f t="shared" si="18"/>
        <v>0.5382968059921901</v>
      </c>
      <c r="Q249">
        <f t="shared" si="19"/>
        <v>0.63141612252806467</v>
      </c>
      <c r="R249">
        <f t="shared" si="20"/>
        <v>1</v>
      </c>
      <c r="S249">
        <f t="shared" si="21"/>
        <v>0</v>
      </c>
      <c r="T249">
        <f t="shared" si="22"/>
        <v>0.63141612252806467</v>
      </c>
      <c r="U249">
        <f t="shared" si="23"/>
        <v>-0.45979016861334987</v>
      </c>
    </row>
    <row r="250" spans="1:21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P250">
        <f t="shared" si="18"/>
        <v>0.73530873786533169</v>
      </c>
      <c r="Q250">
        <f t="shared" si="19"/>
        <v>0.67596915575346572</v>
      </c>
      <c r="R250">
        <f t="shared" si="20"/>
        <v>1</v>
      </c>
      <c r="S250">
        <f t="shared" si="21"/>
        <v>0</v>
      </c>
      <c r="T250">
        <f t="shared" si="22"/>
        <v>0.67596915575346572</v>
      </c>
      <c r="U250">
        <f t="shared" si="23"/>
        <v>-0.39160783156377343</v>
      </c>
    </row>
    <row r="251" spans="1:21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P251">
        <f t="shared" si="18"/>
        <v>0.73213223656945103</v>
      </c>
      <c r="Q251">
        <f t="shared" si="19"/>
        <v>0.67527300270812884</v>
      </c>
      <c r="R251">
        <f t="shared" si="20"/>
        <v>1</v>
      </c>
      <c r="S251">
        <f t="shared" si="21"/>
        <v>0</v>
      </c>
      <c r="T251">
        <f t="shared" si="22"/>
        <v>0.67527300270812884</v>
      </c>
      <c r="U251">
        <f t="shared" si="23"/>
        <v>-0.39263822142035071</v>
      </c>
    </row>
    <row r="252" spans="1:21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P252">
        <f t="shared" si="18"/>
        <v>3.8603098287152804E-2</v>
      </c>
      <c r="Q252">
        <f t="shared" si="19"/>
        <v>0.50964957628564633</v>
      </c>
      <c r="R252">
        <f t="shared" si="20"/>
        <v>1</v>
      </c>
      <c r="S252">
        <f t="shared" si="21"/>
        <v>1</v>
      </c>
      <c r="T252">
        <f t="shared" si="22"/>
        <v>0.49035042371435367</v>
      </c>
      <c r="U252">
        <f t="shared" si="23"/>
        <v>-0.71263499303822886</v>
      </c>
    </row>
    <row r="253" spans="1:21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P253">
        <f t="shared" si="18"/>
        <v>0.66532548413798642</v>
      </c>
      <c r="Q253">
        <f t="shared" si="19"/>
        <v>0.66045566800370459</v>
      </c>
      <c r="R253">
        <f t="shared" si="20"/>
        <v>1</v>
      </c>
      <c r="S253">
        <f t="shared" si="21"/>
        <v>1</v>
      </c>
      <c r="T253">
        <f t="shared" si="22"/>
        <v>0.33954433199629541</v>
      </c>
      <c r="U253">
        <f t="shared" si="23"/>
        <v>-1.0801507602540616</v>
      </c>
    </row>
    <row r="254" spans="1:21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P254">
        <f t="shared" si="18"/>
        <v>0.88746627629427477</v>
      </c>
      <c r="Q254">
        <f t="shared" si="19"/>
        <v>0.70836702433080501</v>
      </c>
      <c r="R254">
        <f t="shared" si="20"/>
        <v>1</v>
      </c>
      <c r="S254">
        <f t="shared" si="21"/>
        <v>0</v>
      </c>
      <c r="T254">
        <f t="shared" si="22"/>
        <v>0.70836702433080501</v>
      </c>
      <c r="U254">
        <f t="shared" si="23"/>
        <v>-0.34479292366171288</v>
      </c>
    </row>
    <row r="255" spans="1:21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P255">
        <f t="shared" si="18"/>
        <v>0.93399893964995095</v>
      </c>
      <c r="Q255">
        <f t="shared" si="19"/>
        <v>0.71788587891981093</v>
      </c>
      <c r="R255">
        <f t="shared" si="20"/>
        <v>1</v>
      </c>
      <c r="S255">
        <f t="shared" si="21"/>
        <v>1</v>
      </c>
      <c r="T255">
        <f t="shared" si="22"/>
        <v>0.28211412108018907</v>
      </c>
      <c r="U255">
        <f t="shared" si="23"/>
        <v>-1.2654436052252627</v>
      </c>
    </row>
    <row r="256" spans="1:21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P256">
        <f t="shared" si="18"/>
        <v>7.6021359273319322E-2</v>
      </c>
      <c r="Q256">
        <f t="shared" si="19"/>
        <v>0.51899619205881142</v>
      </c>
      <c r="R256">
        <f t="shared" si="20"/>
        <v>1</v>
      </c>
      <c r="S256">
        <f t="shared" si="21"/>
        <v>1</v>
      </c>
      <c r="T256">
        <f t="shared" si="22"/>
        <v>0.48100380794118858</v>
      </c>
      <c r="U256">
        <f t="shared" si="23"/>
        <v>-0.73188009219006511</v>
      </c>
    </row>
    <row r="257" spans="1:21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P257">
        <f t="shared" si="18"/>
        <v>0.25860769957377083</v>
      </c>
      <c r="Q257">
        <f t="shared" si="19"/>
        <v>0.56429400277074149</v>
      </c>
      <c r="R257">
        <f t="shared" si="20"/>
        <v>1</v>
      </c>
      <c r="S257">
        <f t="shared" si="21"/>
        <v>1</v>
      </c>
      <c r="T257">
        <f t="shared" si="22"/>
        <v>0.43570599722925851</v>
      </c>
      <c r="U257">
        <f t="shared" si="23"/>
        <v>-0.8307875813694493</v>
      </c>
    </row>
    <row r="258" spans="1:21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P258">
        <f t="shared" si="18"/>
        <v>-9.2028787184372796E-3</v>
      </c>
      <c r="Q258">
        <f t="shared" si="19"/>
        <v>0.49769929655815298</v>
      </c>
      <c r="R258">
        <f t="shared" si="20"/>
        <v>0</v>
      </c>
      <c r="S258">
        <f t="shared" si="21"/>
        <v>0</v>
      </c>
      <c r="T258">
        <f t="shared" si="22"/>
        <v>0.50230070344184696</v>
      </c>
      <c r="U258">
        <f t="shared" si="23"/>
        <v>-0.68855632778545639</v>
      </c>
    </row>
    <row r="259" spans="1:21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P259">
        <f t="shared" si="18"/>
        <v>0.33442071141759799</v>
      </c>
      <c r="Q259">
        <f t="shared" si="19"/>
        <v>0.58283461364881473</v>
      </c>
      <c r="R259">
        <f t="shared" si="20"/>
        <v>1</v>
      </c>
      <c r="S259">
        <f t="shared" si="21"/>
        <v>1</v>
      </c>
      <c r="T259">
        <f t="shared" si="22"/>
        <v>0.41716538635118527</v>
      </c>
      <c r="U259">
        <f t="shared" si="23"/>
        <v>-0.87427252585739368</v>
      </c>
    </row>
    <row r="260" spans="1:21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P260">
        <f t="shared" si="18"/>
        <v>0.20552455045686568</v>
      </c>
      <c r="Q260">
        <f t="shared" si="19"/>
        <v>0.55120103527061692</v>
      </c>
      <c r="R260">
        <f t="shared" si="20"/>
        <v>1</v>
      </c>
      <c r="S260">
        <f t="shared" si="21"/>
        <v>1</v>
      </c>
      <c r="T260">
        <f t="shared" si="22"/>
        <v>0.44879896472938308</v>
      </c>
      <c r="U260">
        <f t="shared" si="23"/>
        <v>-0.80118023152902251</v>
      </c>
    </row>
    <row r="261" spans="1:21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P261">
        <f t="shared" si="18"/>
        <v>0.19208129997034618</v>
      </c>
      <c r="Q261">
        <f t="shared" si="19"/>
        <v>0.54787322430560503</v>
      </c>
      <c r="R261">
        <f t="shared" si="20"/>
        <v>1</v>
      </c>
      <c r="S261">
        <f t="shared" si="21"/>
        <v>1</v>
      </c>
      <c r="T261">
        <f t="shared" si="22"/>
        <v>0.45212677569439497</v>
      </c>
      <c r="U261">
        <f t="shared" si="23"/>
        <v>-0.79379266127629355</v>
      </c>
    </row>
    <row r="262" spans="1:21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P262">
        <f t="shared" si="18"/>
        <v>0.3375288089973062</v>
      </c>
      <c r="Q262">
        <f t="shared" si="19"/>
        <v>0.58359011648613568</v>
      </c>
      <c r="R262">
        <f t="shared" si="20"/>
        <v>1</v>
      </c>
      <c r="S262">
        <f t="shared" si="21"/>
        <v>0</v>
      </c>
      <c r="T262">
        <f t="shared" si="22"/>
        <v>0.58359011648613568</v>
      </c>
      <c r="U262">
        <f t="shared" si="23"/>
        <v>-0.53855639790162846</v>
      </c>
    </row>
    <row r="263" spans="1:21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P263">
        <f t="shared" ref="P263:P302" si="24">SUMPRODUCT($A$3:$M$3,A263:M263)+$N$3</f>
        <v>0.21173585243638071</v>
      </c>
      <c r="Q263">
        <f t="shared" ref="Q263:Q306" si="25">1/(1+EXP(-P263))</f>
        <v>0.55273708411105504</v>
      </c>
      <c r="R263">
        <f t="shared" ref="R263:R306" si="26">IF(Q263&gt;=0.5,1,0)</f>
        <v>1</v>
      </c>
      <c r="S263">
        <f t="shared" ref="S263:S302" si="27">IF(R263=N263,0,1)</f>
        <v>1</v>
      </c>
      <c r="T263">
        <f t="shared" ref="T263:T302" si="28">IF(N263=1,Q263,1-Q263)</f>
        <v>0.44726291588894496</v>
      </c>
      <c r="U263">
        <f t="shared" ref="U263:U302" si="29">IF(T263=0,-1000000,LN(T263))</f>
        <v>-0.8046086785554033</v>
      </c>
    </row>
    <row r="264" spans="1:21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P264">
        <f t="shared" si="24"/>
        <v>0.20919035731306834</v>
      </c>
      <c r="Q264">
        <f t="shared" si="25"/>
        <v>0.55210770571219858</v>
      </c>
      <c r="R264">
        <f t="shared" si="26"/>
        <v>1</v>
      </c>
      <c r="S264">
        <f t="shared" si="27"/>
        <v>0</v>
      </c>
      <c r="T264">
        <f t="shared" si="28"/>
        <v>0.55210770571219858</v>
      </c>
      <c r="U264">
        <f t="shared" si="29"/>
        <v>-0.59401213269444852</v>
      </c>
    </row>
    <row r="265" spans="1:21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P265">
        <f t="shared" si="24"/>
        <v>-0.14834689454852243</v>
      </c>
      <c r="Q265">
        <f t="shared" si="25"/>
        <v>0.46298114036576593</v>
      </c>
      <c r="R265">
        <f t="shared" si="26"/>
        <v>0</v>
      </c>
      <c r="S265">
        <f t="shared" si="27"/>
        <v>0</v>
      </c>
      <c r="T265">
        <f t="shared" si="28"/>
        <v>0.53701885963423401</v>
      </c>
      <c r="U265">
        <f t="shared" si="29"/>
        <v>-0.62172206472827574</v>
      </c>
    </row>
    <row r="266" spans="1:21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P266">
        <f t="shared" si="24"/>
        <v>8.9536016454554446E-2</v>
      </c>
      <c r="Q266">
        <f t="shared" si="25"/>
        <v>0.52236906227474245</v>
      </c>
      <c r="R266">
        <f t="shared" si="26"/>
        <v>1</v>
      </c>
      <c r="S266">
        <f t="shared" si="27"/>
        <v>1</v>
      </c>
      <c r="T266">
        <f t="shared" si="28"/>
        <v>0.47763093772525755</v>
      </c>
      <c r="U266">
        <f t="shared" si="29"/>
        <v>-0.73891694152002019</v>
      </c>
    </row>
    <row r="267" spans="1:21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P267">
        <f t="shared" si="24"/>
        <v>0.80517233040288916</v>
      </c>
      <c r="Q267">
        <f t="shared" si="25"/>
        <v>0.69107980418781312</v>
      </c>
      <c r="R267">
        <f t="shared" si="26"/>
        <v>1</v>
      </c>
      <c r="S267">
        <f t="shared" si="27"/>
        <v>0</v>
      </c>
      <c r="T267">
        <f t="shared" si="28"/>
        <v>0.69107980418781312</v>
      </c>
      <c r="U267">
        <f t="shared" si="29"/>
        <v>-0.36949997101788168</v>
      </c>
    </row>
    <row r="268" spans="1:21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P268">
        <f t="shared" si="24"/>
        <v>0.79210216256829258</v>
      </c>
      <c r="Q268">
        <f t="shared" si="25"/>
        <v>0.68828252732772566</v>
      </c>
      <c r="R268">
        <f t="shared" si="26"/>
        <v>1</v>
      </c>
      <c r="S268">
        <f t="shared" si="27"/>
        <v>0</v>
      </c>
      <c r="T268">
        <f t="shared" si="28"/>
        <v>0.68828252732772566</v>
      </c>
      <c r="U268">
        <f t="shared" si="29"/>
        <v>-0.37355587515685706</v>
      </c>
    </row>
    <row r="269" spans="1:21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P269">
        <f t="shared" si="24"/>
        <v>0.53221534917142355</v>
      </c>
      <c r="Q269">
        <f t="shared" si="25"/>
        <v>0.62999965860729623</v>
      </c>
      <c r="R269">
        <f t="shared" si="26"/>
        <v>1</v>
      </c>
      <c r="S269">
        <f t="shared" si="27"/>
        <v>0</v>
      </c>
      <c r="T269">
        <f t="shared" si="28"/>
        <v>0.62999965860729623</v>
      </c>
      <c r="U269">
        <f t="shared" si="29"/>
        <v>-0.46203600148988611</v>
      </c>
    </row>
    <row r="270" spans="1:21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P270">
        <f t="shared" si="24"/>
        <v>0.45548524594476636</v>
      </c>
      <c r="Q270">
        <f t="shared" si="25"/>
        <v>0.61194260605701967</v>
      </c>
      <c r="R270">
        <f t="shared" si="26"/>
        <v>1</v>
      </c>
      <c r="S270">
        <f t="shared" si="27"/>
        <v>0</v>
      </c>
      <c r="T270">
        <f t="shared" si="28"/>
        <v>0.61194260605701967</v>
      </c>
      <c r="U270">
        <f t="shared" si="29"/>
        <v>-0.49111678182010171</v>
      </c>
    </row>
    <row r="271" spans="1:21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P271">
        <f t="shared" si="24"/>
        <v>0.1469265301523458</v>
      </c>
      <c r="Q271">
        <f t="shared" si="25"/>
        <v>0.5366656964867923</v>
      </c>
      <c r="R271">
        <f t="shared" si="26"/>
        <v>1</v>
      </c>
      <c r="S271">
        <f t="shared" si="27"/>
        <v>1</v>
      </c>
      <c r="T271">
        <f t="shared" si="28"/>
        <v>0.4633343035132077</v>
      </c>
      <c r="U271">
        <f t="shared" si="29"/>
        <v>-0.76930644761430367</v>
      </c>
    </row>
    <row r="272" spans="1:21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P272">
        <f t="shared" si="24"/>
        <v>0.91618736767078646</v>
      </c>
      <c r="Q272">
        <f t="shared" si="25"/>
        <v>0.71426461908310412</v>
      </c>
      <c r="R272">
        <f t="shared" si="26"/>
        <v>1</v>
      </c>
      <c r="S272">
        <f t="shared" si="27"/>
        <v>0</v>
      </c>
      <c r="T272">
        <f t="shared" si="28"/>
        <v>0.71426461908310412</v>
      </c>
      <c r="U272">
        <f t="shared" si="29"/>
        <v>-0.33650177034098316</v>
      </c>
    </row>
    <row r="273" spans="1:21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P273">
        <f t="shared" si="24"/>
        <v>0.63461847253093595</v>
      </c>
      <c r="Q273">
        <f t="shared" si="25"/>
        <v>0.65353594795008796</v>
      </c>
      <c r="R273">
        <f t="shared" si="26"/>
        <v>1</v>
      </c>
      <c r="S273">
        <f t="shared" si="27"/>
        <v>1</v>
      </c>
      <c r="T273">
        <f t="shared" si="28"/>
        <v>0.34646405204991204</v>
      </c>
      <c r="U273">
        <f t="shared" si="29"/>
        <v>-1.0599762116218556</v>
      </c>
    </row>
    <row r="274" spans="1:21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P274">
        <f t="shared" si="24"/>
        <v>1.1544665314504026</v>
      </c>
      <c r="Q274">
        <f t="shared" si="25"/>
        <v>0.76032580126148519</v>
      </c>
      <c r="R274">
        <f t="shared" si="26"/>
        <v>1</v>
      </c>
      <c r="S274">
        <f t="shared" si="27"/>
        <v>0</v>
      </c>
      <c r="T274">
        <f t="shared" si="28"/>
        <v>0.76032580126148519</v>
      </c>
      <c r="U274">
        <f t="shared" si="29"/>
        <v>-0.27400825169092113</v>
      </c>
    </row>
    <row r="275" spans="1:21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P275">
        <f t="shared" si="24"/>
        <v>0.17750134531364503</v>
      </c>
      <c r="Q275">
        <f t="shared" si="25"/>
        <v>0.5442591921110016</v>
      </c>
      <c r="R275">
        <f t="shared" si="26"/>
        <v>1</v>
      </c>
      <c r="S275">
        <f t="shared" si="27"/>
        <v>1</v>
      </c>
      <c r="T275">
        <f t="shared" si="28"/>
        <v>0.4557408078889984</v>
      </c>
      <c r="U275">
        <f t="shared" si="29"/>
        <v>-0.78583103482260019</v>
      </c>
    </row>
    <row r="276" spans="1:21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P276">
        <f t="shared" si="24"/>
        <v>0.25840839803089843</v>
      </c>
      <c r="Q276">
        <f t="shared" si="25"/>
        <v>0.56424500061381022</v>
      </c>
      <c r="R276">
        <f t="shared" si="26"/>
        <v>1</v>
      </c>
      <c r="S276">
        <f t="shared" si="27"/>
        <v>0</v>
      </c>
      <c r="T276">
        <f t="shared" si="28"/>
        <v>0.56424500061381022</v>
      </c>
      <c r="U276">
        <f t="shared" si="29"/>
        <v>-0.57226672355624697</v>
      </c>
    </row>
    <row r="277" spans="1:21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P277">
        <f t="shared" si="24"/>
        <v>0.43167727440812509</v>
      </c>
      <c r="Q277">
        <f t="shared" si="25"/>
        <v>0.60627411486819183</v>
      </c>
      <c r="R277">
        <f t="shared" si="26"/>
        <v>1</v>
      </c>
      <c r="S277">
        <f t="shared" si="27"/>
        <v>1</v>
      </c>
      <c r="T277">
        <f t="shared" si="28"/>
        <v>0.39372588513180817</v>
      </c>
      <c r="U277">
        <f t="shared" si="29"/>
        <v>-0.93210033482748478</v>
      </c>
    </row>
    <row r="278" spans="1:21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P278">
        <f t="shared" si="24"/>
        <v>0.30501299655771996</v>
      </c>
      <c r="Q278">
        <f t="shared" si="25"/>
        <v>0.57566752577234259</v>
      </c>
      <c r="R278">
        <f t="shared" si="26"/>
        <v>1</v>
      </c>
      <c r="S278">
        <f t="shared" si="27"/>
        <v>1</v>
      </c>
      <c r="T278">
        <f t="shared" si="28"/>
        <v>0.42433247422765741</v>
      </c>
      <c r="U278">
        <f t="shared" si="29"/>
        <v>-0.85723799369585418</v>
      </c>
    </row>
    <row r="279" spans="1:21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P279">
        <f t="shared" si="24"/>
        <v>9.1986858743570821E-2</v>
      </c>
      <c r="Q279">
        <f t="shared" si="25"/>
        <v>0.5229805126792807</v>
      </c>
      <c r="R279">
        <f t="shared" si="26"/>
        <v>1</v>
      </c>
      <c r="S279">
        <f t="shared" si="27"/>
        <v>1</v>
      </c>
      <c r="T279">
        <f t="shared" si="28"/>
        <v>0.4770194873207193</v>
      </c>
      <c r="U279">
        <f t="shared" si="29"/>
        <v>-0.74019793500645115</v>
      </c>
    </row>
    <row r="280" spans="1:21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P280">
        <f t="shared" si="24"/>
        <v>0.2872105501659914</v>
      </c>
      <c r="Q280">
        <f t="shared" si="25"/>
        <v>0.57131309269586894</v>
      </c>
      <c r="R280">
        <f t="shared" si="26"/>
        <v>1</v>
      </c>
      <c r="S280">
        <f t="shared" si="27"/>
        <v>0</v>
      </c>
      <c r="T280">
        <f t="shared" si="28"/>
        <v>0.57131309269586894</v>
      </c>
      <c r="U280">
        <f t="shared" si="29"/>
        <v>-0.55981789614013933</v>
      </c>
    </row>
    <row r="281" spans="1:21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P281">
        <f t="shared" si="24"/>
        <v>0.20076906590770371</v>
      </c>
      <c r="Q281">
        <f t="shared" si="25"/>
        <v>0.55002434656550547</v>
      </c>
      <c r="R281">
        <f t="shared" si="26"/>
        <v>1</v>
      </c>
      <c r="S281">
        <f t="shared" si="27"/>
        <v>1</v>
      </c>
      <c r="T281">
        <f t="shared" si="28"/>
        <v>0.44997565343449453</v>
      </c>
      <c r="U281">
        <f t="shared" si="29"/>
        <v>-0.79856180116031872</v>
      </c>
    </row>
    <row r="282" spans="1:21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P282">
        <f t="shared" si="24"/>
        <v>0.92070107054495043</v>
      </c>
      <c r="Q282">
        <f t="shared" si="25"/>
        <v>0.71518493211852963</v>
      </c>
      <c r="R282">
        <f t="shared" si="26"/>
        <v>1</v>
      </c>
      <c r="S282">
        <f t="shared" si="27"/>
        <v>0</v>
      </c>
      <c r="T282">
        <f t="shared" si="28"/>
        <v>0.71518493211852963</v>
      </c>
      <c r="U282">
        <f t="shared" si="29"/>
        <v>-0.33521412341170037</v>
      </c>
    </row>
    <row r="283" spans="1:21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P283">
        <f t="shared" si="24"/>
        <v>9.0533460030717161E-2</v>
      </c>
      <c r="Q283">
        <f t="shared" si="25"/>
        <v>0.52261791849992478</v>
      </c>
      <c r="R283">
        <f t="shared" si="26"/>
        <v>1</v>
      </c>
      <c r="S283">
        <f t="shared" si="27"/>
        <v>1</v>
      </c>
      <c r="T283">
        <f t="shared" si="28"/>
        <v>0.47738208150007522</v>
      </c>
      <c r="U283">
        <f t="shared" si="29"/>
        <v>-0.73943809929652204</v>
      </c>
    </row>
    <row r="284" spans="1:21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P284">
        <f t="shared" si="24"/>
        <v>0.80415012679364828</v>
      </c>
      <c r="Q284">
        <f t="shared" si="25"/>
        <v>0.690861532849673</v>
      </c>
      <c r="R284">
        <f t="shared" si="26"/>
        <v>1</v>
      </c>
      <c r="S284">
        <f t="shared" si="27"/>
        <v>0</v>
      </c>
      <c r="T284">
        <f t="shared" si="28"/>
        <v>0.690861532849673</v>
      </c>
      <c r="U284">
        <f t="shared" si="29"/>
        <v>-0.36981586190862398</v>
      </c>
    </row>
    <row r="285" spans="1:21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P285">
        <f t="shared" si="24"/>
        <v>-3.0985637594814763E-3</v>
      </c>
      <c r="Q285">
        <f t="shared" si="25"/>
        <v>0.49922535967991255</v>
      </c>
      <c r="R285">
        <f t="shared" si="26"/>
        <v>0</v>
      </c>
      <c r="S285">
        <f t="shared" si="27"/>
        <v>0</v>
      </c>
      <c r="T285">
        <f t="shared" si="28"/>
        <v>0.50077464032008745</v>
      </c>
      <c r="U285">
        <f t="shared" si="29"/>
        <v>-0.69159909881689574</v>
      </c>
    </row>
    <row r="286" spans="1:21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P286">
        <f t="shared" si="24"/>
        <v>0.60977290403778683</v>
      </c>
      <c r="Q286">
        <f t="shared" si="25"/>
        <v>0.6478889966812702</v>
      </c>
      <c r="R286">
        <f t="shared" si="26"/>
        <v>1</v>
      </c>
      <c r="S286">
        <f t="shared" si="27"/>
        <v>0</v>
      </c>
      <c r="T286">
        <f t="shared" si="28"/>
        <v>0.6478889966812702</v>
      </c>
      <c r="U286">
        <f t="shared" si="29"/>
        <v>-0.4340358987214189</v>
      </c>
    </row>
    <row r="287" spans="1:21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P287">
        <f t="shared" si="24"/>
        <v>1.1599751538919603</v>
      </c>
      <c r="Q287">
        <f t="shared" si="25"/>
        <v>0.76132820014626368</v>
      </c>
      <c r="R287">
        <f t="shared" si="26"/>
        <v>1</v>
      </c>
      <c r="S287">
        <f t="shared" si="27"/>
        <v>0</v>
      </c>
      <c r="T287">
        <f t="shared" si="28"/>
        <v>0.76132820014626368</v>
      </c>
      <c r="U287">
        <f t="shared" si="29"/>
        <v>-0.27269073926187826</v>
      </c>
    </row>
    <row r="288" spans="1:21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P288">
        <f t="shared" si="24"/>
        <v>0.89820059529201746</v>
      </c>
      <c r="Q288">
        <f t="shared" si="25"/>
        <v>0.71057958408930944</v>
      </c>
      <c r="R288">
        <f t="shared" si="26"/>
        <v>1</v>
      </c>
      <c r="S288">
        <f t="shared" si="27"/>
        <v>0</v>
      </c>
      <c r="T288">
        <f t="shared" si="28"/>
        <v>0.71057958408930944</v>
      </c>
      <c r="U288">
        <f t="shared" si="29"/>
        <v>-0.34167432633241285</v>
      </c>
    </row>
    <row r="289" spans="1:21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P289">
        <f t="shared" si="24"/>
        <v>0.33518880531629225</v>
      </c>
      <c r="Q289">
        <f t="shared" si="25"/>
        <v>0.5830213549004154</v>
      </c>
      <c r="R289">
        <f t="shared" si="26"/>
        <v>1</v>
      </c>
      <c r="S289">
        <f t="shared" si="27"/>
        <v>1</v>
      </c>
      <c r="T289">
        <f t="shared" si="28"/>
        <v>0.4169786450995846</v>
      </c>
      <c r="U289">
        <f t="shared" si="29"/>
        <v>-0.87472026928701607</v>
      </c>
    </row>
    <row r="290" spans="1:21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P290">
        <f t="shared" si="24"/>
        <v>0.11907209005651553</v>
      </c>
      <c r="Q290">
        <f t="shared" si="25"/>
        <v>0.52973290098712811</v>
      </c>
      <c r="R290">
        <f t="shared" si="26"/>
        <v>1</v>
      </c>
      <c r="S290">
        <f t="shared" si="27"/>
        <v>1</v>
      </c>
      <c r="T290">
        <f t="shared" si="28"/>
        <v>0.47026709901287189</v>
      </c>
      <c r="U290">
        <f t="shared" si="29"/>
        <v>-0.75445444992485433</v>
      </c>
    </row>
    <row r="291" spans="1:21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P291">
        <f t="shared" si="24"/>
        <v>0.56936109453545858</v>
      </c>
      <c r="Q291">
        <f t="shared" si="25"/>
        <v>0.63861573798094895</v>
      </c>
      <c r="R291">
        <f t="shared" si="26"/>
        <v>1</v>
      </c>
      <c r="S291">
        <f t="shared" si="27"/>
        <v>0</v>
      </c>
      <c r="T291">
        <f t="shared" si="28"/>
        <v>0.63861573798094895</v>
      </c>
      <c r="U291">
        <f t="shared" si="29"/>
        <v>-0.44845235450003862</v>
      </c>
    </row>
    <row r="292" spans="1:21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P292">
        <f t="shared" si="24"/>
        <v>-3.8834697337807644E-2</v>
      </c>
      <c r="Q292">
        <f t="shared" si="25"/>
        <v>0.49029254564648522</v>
      </c>
      <c r="R292">
        <f t="shared" si="26"/>
        <v>0</v>
      </c>
      <c r="S292">
        <f t="shared" si="27"/>
        <v>0</v>
      </c>
      <c r="T292">
        <f t="shared" si="28"/>
        <v>0.50970745435351472</v>
      </c>
      <c r="U292">
        <f t="shared" si="29"/>
        <v>-0.67391833676071355</v>
      </c>
    </row>
    <row r="293" spans="1:21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P293">
        <f t="shared" si="24"/>
        <v>0.74721665937791648</v>
      </c>
      <c r="Q293">
        <f t="shared" si="25"/>
        <v>0.67857192097002583</v>
      </c>
      <c r="R293">
        <f t="shared" si="26"/>
        <v>1</v>
      </c>
      <c r="S293">
        <f t="shared" si="27"/>
        <v>0</v>
      </c>
      <c r="T293">
        <f t="shared" si="28"/>
        <v>0.67857192097002583</v>
      </c>
      <c r="U293">
        <f t="shared" si="29"/>
        <v>-0.38776480536898866</v>
      </c>
    </row>
    <row r="294" spans="1:21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P294">
        <f t="shared" si="24"/>
        <v>1.1021734351984294</v>
      </c>
      <c r="Q294">
        <f t="shared" si="25"/>
        <v>0.75066712034109107</v>
      </c>
      <c r="R294">
        <f t="shared" si="26"/>
        <v>1</v>
      </c>
      <c r="S294">
        <f t="shared" si="27"/>
        <v>0</v>
      </c>
      <c r="T294">
        <f t="shared" si="28"/>
        <v>0.75066712034109107</v>
      </c>
      <c r="U294">
        <f t="shared" si="29"/>
        <v>-0.28679297402882653</v>
      </c>
    </row>
    <row r="295" spans="1:21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P295">
        <f t="shared" si="24"/>
        <v>0.28397625619682876</v>
      </c>
      <c r="Q295">
        <f t="shared" si="25"/>
        <v>0.57052078533748252</v>
      </c>
      <c r="R295">
        <f t="shared" si="26"/>
        <v>1</v>
      </c>
      <c r="S295">
        <f t="shared" si="27"/>
        <v>0</v>
      </c>
      <c r="T295">
        <f t="shared" si="28"/>
        <v>0.57052078533748252</v>
      </c>
      <c r="U295">
        <f t="shared" si="29"/>
        <v>-0.56120567679858702</v>
      </c>
    </row>
    <row r="296" spans="1:21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P296">
        <f t="shared" si="24"/>
        <v>-4.8171162955173208E-2</v>
      </c>
      <c r="Q296">
        <f t="shared" si="25"/>
        <v>0.48795953745641985</v>
      </c>
      <c r="R296">
        <f t="shared" si="26"/>
        <v>0</v>
      </c>
      <c r="S296">
        <f t="shared" si="27"/>
        <v>0</v>
      </c>
      <c r="T296">
        <f t="shared" si="28"/>
        <v>0.51204046254358015</v>
      </c>
      <c r="U296">
        <f t="shared" si="29"/>
        <v>-0.66935162865977915</v>
      </c>
    </row>
    <row r="297" spans="1:21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P297">
        <f t="shared" si="24"/>
        <v>0.96640051894057188</v>
      </c>
      <c r="Q297">
        <f t="shared" si="25"/>
        <v>0.72440146380623038</v>
      </c>
      <c r="R297">
        <f t="shared" si="26"/>
        <v>1</v>
      </c>
      <c r="S297">
        <f t="shared" si="27"/>
        <v>0</v>
      </c>
      <c r="T297">
        <f t="shared" si="28"/>
        <v>0.72440146380623038</v>
      </c>
      <c r="U297">
        <f t="shared" si="29"/>
        <v>-0.32240953225952779</v>
      </c>
    </row>
    <row r="298" spans="1:21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P298">
        <f t="shared" si="24"/>
        <v>0.62426061541042588</v>
      </c>
      <c r="Q298">
        <f t="shared" si="25"/>
        <v>0.65118693777404357</v>
      </c>
      <c r="R298">
        <f t="shared" si="26"/>
        <v>1</v>
      </c>
      <c r="S298">
        <f t="shared" si="27"/>
        <v>0</v>
      </c>
      <c r="T298">
        <f t="shared" si="28"/>
        <v>0.65118693777404357</v>
      </c>
      <c r="U298">
        <f t="shared" si="29"/>
        <v>-0.42895852319577799</v>
      </c>
    </row>
    <row r="299" spans="1:21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P299">
        <f t="shared" si="24"/>
        <v>0.354517881954303</v>
      </c>
      <c r="Q299">
        <f t="shared" si="25"/>
        <v>0.5877127230989172</v>
      </c>
      <c r="R299">
        <f t="shared" si="26"/>
        <v>1</v>
      </c>
      <c r="S299">
        <f t="shared" si="27"/>
        <v>0</v>
      </c>
      <c r="T299">
        <f t="shared" si="28"/>
        <v>0.5877127230989172</v>
      </c>
      <c r="U299">
        <f t="shared" si="29"/>
        <v>-0.53151701662914708</v>
      </c>
    </row>
    <row r="300" spans="1:21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P300">
        <f t="shared" si="24"/>
        <v>0.85785607918084461</v>
      </c>
      <c r="Q300">
        <f t="shared" si="25"/>
        <v>0.70221253331085198</v>
      </c>
      <c r="R300">
        <f t="shared" si="26"/>
        <v>1</v>
      </c>
      <c r="S300">
        <f t="shared" si="27"/>
        <v>0</v>
      </c>
      <c r="T300">
        <f t="shared" si="28"/>
        <v>0.70221253331085198</v>
      </c>
      <c r="U300">
        <f t="shared" si="29"/>
        <v>-0.35351916677300871</v>
      </c>
    </row>
    <row r="301" spans="1:21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P301">
        <f t="shared" si="24"/>
        <v>0.90618816575166716</v>
      </c>
      <c r="Q301">
        <f t="shared" si="25"/>
        <v>0.71221951067968203</v>
      </c>
      <c r="R301">
        <f t="shared" si="26"/>
        <v>1</v>
      </c>
      <c r="S301">
        <f t="shared" si="27"/>
        <v>0</v>
      </c>
      <c r="T301">
        <f t="shared" si="28"/>
        <v>0.71221951067968203</v>
      </c>
      <c r="U301">
        <f t="shared" si="29"/>
        <v>-0.3393691135689007</v>
      </c>
    </row>
    <row r="302" spans="1:21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P302">
        <f t="shared" si="24"/>
        <v>0.12644277078080657</v>
      </c>
      <c r="Q302">
        <f t="shared" si="25"/>
        <v>0.53156864453459485</v>
      </c>
      <c r="R302">
        <f t="shared" si="26"/>
        <v>1</v>
      </c>
      <c r="S302">
        <f t="shared" si="27"/>
        <v>0</v>
      </c>
      <c r="T302">
        <f t="shared" si="28"/>
        <v>0.53156864453459485</v>
      </c>
      <c r="U302">
        <f t="shared" si="29"/>
        <v>-0.63192293707563563</v>
      </c>
    </row>
    <row r="304" spans="1:21" x14ac:dyDescent="0.3">
      <c r="A304" s="2" t="s">
        <v>14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R304" t="s">
        <v>38</v>
      </c>
    </row>
    <row r="305" spans="1:18" x14ac:dyDescent="0.3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1" t="s">
        <v>15</v>
      </c>
      <c r="P305">
        <f>SUMPRODUCT($A$3:$M$3,A305:M305)+$N$3</f>
        <v>0.13389184740580429</v>
      </c>
      <c r="Q305">
        <f t="shared" si="25"/>
        <v>0.53342304544446451</v>
      </c>
      <c r="R305">
        <f t="shared" si="26"/>
        <v>1</v>
      </c>
    </row>
    <row r="306" spans="1:18" x14ac:dyDescent="0.3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1" t="s">
        <v>15</v>
      </c>
      <c r="P306">
        <f t="shared" ref="P306" si="30">SUMPRODUCT($A$3:$M$3,A306:M306)+$N$3</f>
        <v>0.30162238145565734</v>
      </c>
      <c r="Q306">
        <f t="shared" si="25"/>
        <v>0.57483907346244933</v>
      </c>
      <c r="R306">
        <f t="shared" si="26"/>
        <v>1</v>
      </c>
    </row>
  </sheetData>
  <mergeCells count="1">
    <mergeCell ref="A304:N30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</vt:lpstr>
      <vt:lpstr>Practice</vt:lpstr>
      <vt:lpstr>LR!Heart_disease_processed_cleveland___Copy</vt:lpstr>
      <vt:lpstr>Practice!Heart_disease_processed_cleveland___Copy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2025-11-27T15:21:45Z</dcterms:modified>
</cp:coreProperties>
</file>